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ax Tables" sheetId="3" state="visible" r:id="rId3"/>
    <sheet xmlns:r="http://schemas.openxmlformats.org/officeDocument/2006/relationships" name="Form 1040" sheetId="4" state="visible" r:id="rId4"/>
    <sheet xmlns:r="http://schemas.openxmlformats.org/officeDocument/2006/relationships" name="Deduction Calc" sheetId="5" state="visible" r:id="rId5"/>
    <sheet xmlns:r="http://schemas.openxmlformats.org/officeDocument/2006/relationships" name="Tax Computation" sheetId="6" state="visible" r:id="rId6"/>
    <sheet xmlns:r="http://schemas.openxmlformats.org/officeDocument/2006/relationships" name="Schedule 1" sheetId="7" state="visible" r:id="rId7"/>
    <sheet xmlns:r="http://schemas.openxmlformats.org/officeDocument/2006/relationships" name="Schedule 2" sheetId="8" state="visible" r:id="rId8"/>
    <sheet xmlns:r="http://schemas.openxmlformats.org/officeDocument/2006/relationships" name="Schedule 3" sheetId="9" state="visible" r:id="rId9"/>
    <sheet xmlns:r="http://schemas.openxmlformats.org/officeDocument/2006/relationships" name="Schedule A" sheetId="10" state="visible" r:id="rId10"/>
    <sheet xmlns:r="http://schemas.openxmlformats.org/officeDocument/2006/relationships" name="Schedule B" sheetId="11" state="visible" r:id="rId11"/>
    <sheet xmlns:r="http://schemas.openxmlformats.org/officeDocument/2006/relationships" name="Schedule C" sheetId="12" state="visible" r:id="rId12"/>
    <sheet xmlns:r="http://schemas.openxmlformats.org/officeDocument/2006/relationships" name="Schedule D" sheetId="13" state="visible" r:id="rId13"/>
    <sheet xmlns:r="http://schemas.openxmlformats.org/officeDocument/2006/relationships" name="Form 8949" sheetId="14" state="visible" r:id="rId14"/>
    <sheet xmlns:r="http://schemas.openxmlformats.org/officeDocument/2006/relationships" name="Schedule E" sheetId="15" state="visible" r:id="rId15"/>
    <sheet xmlns:r="http://schemas.openxmlformats.org/officeDocument/2006/relationships" name="Schedule SE" sheetId="16" state="visible" r:id="rId16"/>
    <sheet xmlns:r="http://schemas.openxmlformats.org/officeDocument/2006/relationships" name="Form 8938" sheetId="17" state="visible" r:id="rId17"/>
    <sheet xmlns:r="http://schemas.openxmlformats.org/officeDocument/2006/relationships" name="Form 8621" sheetId="18" state="visible" r:id="rId18"/>
    <sheet xmlns:r="http://schemas.openxmlformats.org/officeDocument/2006/relationships" name="Form 352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$#,##0;($#,##0);&quot;-&quot;"/>
    <numFmt numFmtId="166" formatCode="#,##0;(#,##0);&quot;-&quot;"/>
    <numFmt numFmtId="167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1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FF0000"/>
      <sz val="10"/>
    </font>
    <font>
      <name val="Arial"/>
      <color rgb="00000000"/>
      <sz val="12"/>
    </font>
    <font>
      <name val="Arial"/>
      <b val="1"/>
      <color rgb="00000000"/>
      <sz val="12"/>
    </font>
    <font>
      <name val="Arial"/>
      <b val="1"/>
      <color rgb="00008000"/>
      <sz val="12"/>
    </font>
    <font>
      <name val="Arial"/>
      <b val="1"/>
      <color rgb="00FF0000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CE6F1"/>
      </patternFill>
    </fill>
    <fill>
      <patternFill patternType="solid">
        <fgColor rgb="00FCE4E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bottom style="medium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right" vertical="center"/>
    </xf>
    <xf numFmtId="0" fontId="9" fillId="6" borderId="6" applyAlignment="1" pivotButton="0" quotePrefix="0" xfId="0">
      <alignment horizontal="left" vertical="center" wrapText="1"/>
    </xf>
    <xf numFmtId="165" fontId="9" fillId="6" borderId="6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1" fillId="0" borderId="0" pivotButton="0" quotePrefix="0" xfId="0"/>
    <xf numFmtId="0" fontId="10" fillId="7" borderId="1" applyAlignment="1" pivotButton="0" quotePrefix="0" xfId="0">
      <alignment horizontal="left" vertical="center" wrapText="1"/>
    </xf>
    <xf numFmtId="165" fontId="10" fillId="7" borderId="1" applyAlignment="1" pivotButton="0" quotePrefix="0" xfId="0">
      <alignment horizontal="right" vertical="center"/>
    </xf>
    <xf numFmtId="0" fontId="9" fillId="3" borderId="6" applyAlignment="1" pivotButton="0" quotePrefix="0" xfId="0">
      <alignment horizontal="left" vertical="center" wrapText="1"/>
    </xf>
    <xf numFmtId="165" fontId="12" fillId="7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wrapText="1"/>
    </xf>
    <xf numFmtId="165" fontId="13" fillId="6" borderId="1" applyAlignment="1" pivotButton="0" quotePrefix="0" xfId="0">
      <alignment horizontal="right" vertical="center"/>
    </xf>
    <xf numFmtId="165" fontId="14" fillId="6" borderId="6" applyAlignment="1" pivotButton="0" quotePrefix="0" xfId="0">
      <alignment horizontal="right" vertical="center"/>
    </xf>
    <xf numFmtId="165" fontId="15" fillId="8" borderId="6" applyAlignment="1" pivotButton="0" quotePrefix="0" xfId="0">
      <alignment horizontal="right" vertical="center"/>
    </xf>
    <xf numFmtId="0" fontId="10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11" fillId="8" borderId="6" applyAlignment="1" pivotButton="0" quotePrefix="0" xfId="0">
      <alignment horizontal="right" vertical="center"/>
    </xf>
    <xf numFmtId="0" fontId="9" fillId="3" borderId="6" applyAlignment="1" pivotButton="0" quotePrefix="0" xfId="0">
      <alignment horizontal="center" vertical="center" wrapText="1"/>
    </xf>
    <xf numFmtId="165" fontId="10" fillId="6" borderId="6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8" borderId="6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I312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30" customWidth="1" min="3" max="3"/>
    <col width="15" customWidth="1" min="4" max="4"/>
    <col width="30" customWidth="1" min="5" max="5"/>
    <col width="30" customWidth="1" min="6" max="6"/>
    <col width="20" customWidth="1" min="7" max="7"/>
    <col width="20" customWidth="1" min="8" max="8"/>
    <col width="25" customWidth="1" min="9" max="9"/>
  </cols>
  <sheetData>
    <row r="1">
      <c r="B1" s="1" t="inlineStr">
        <is>
          <t>Form 1040 — Individual Income Tax Return</t>
        </is>
      </c>
    </row>
    <row r="2">
      <c r="B2" s="2" t="inlineStr">
        <is>
          <t>Tax Year 2025 — Comprehensive Intake Worksheet</t>
        </is>
      </c>
    </row>
    <row r="3">
      <c r="B3" s="3" t="inlineStr">
        <is>
          <t>Blue cells = Client input  |  Yellow highlight = Required fields</t>
        </is>
      </c>
    </row>
    <row r="5">
      <c r="B5" s="4" t="inlineStr">
        <is>
          <t>SECTION 1: FILING INFORMATION</t>
        </is>
      </c>
      <c r="C5" s="5" t="n"/>
      <c r="D5" s="5" t="n"/>
      <c r="E5" s="5" t="n"/>
      <c r="F5" s="6" t="n"/>
    </row>
    <row r="6">
      <c r="B6" s="7" t="inlineStr">
        <is>
          <t>Filing Status</t>
        </is>
      </c>
      <c r="C6" s="8" t="n"/>
      <c r="D6" s="9" t="inlineStr">
        <is>
          <t>1=Single, 2=MFJ, 3=MFS, 4=HOH, 5=QSS</t>
        </is>
      </c>
    </row>
    <row r="7">
      <c r="B7" s="7" t="inlineStr">
        <is>
          <t>Digital Assets Question (Y/N)</t>
        </is>
      </c>
      <c r="C7" s="8" t="n"/>
      <c r="D7" s="9" t="inlineStr">
        <is>
          <t>Did you receive/sell/exchange digital assets?</t>
        </is>
      </c>
    </row>
    <row r="8">
      <c r="B8" s="7" t="inlineStr">
        <is>
          <t>Standard Deduction or Itemize?</t>
        </is>
      </c>
      <c r="C8" s="8" t="n"/>
      <c r="D8" s="9" t="inlineStr">
        <is>
          <t>S=Standard, I=Itemize</t>
        </is>
      </c>
    </row>
    <row r="9">
      <c r="B9" s="7" t="inlineStr">
        <is>
          <t>Are you a dependent of another taxpayer?</t>
        </is>
      </c>
      <c r="C9" s="8" t="n"/>
      <c r="D9" s="9" t="inlineStr">
        <is>
          <t>Y/N</t>
        </is>
      </c>
    </row>
    <row r="10">
      <c r="B10" s="7" t="inlineStr">
        <is>
          <t>Presidential Election Campaign Fund?</t>
        </is>
      </c>
      <c r="C10" s="8" t="n"/>
      <c r="D10" s="9" t="inlineStr">
        <is>
          <t>Y/N</t>
        </is>
      </c>
    </row>
    <row r="12">
      <c r="B12" s="4" t="inlineStr">
        <is>
          <t>SECTION 2: TAXPAYER INFORMATION</t>
        </is>
      </c>
      <c r="C12" s="5" t="n"/>
      <c r="D12" s="5" t="n"/>
      <c r="E12" s="5" t="n"/>
      <c r="F12" s="6" t="n"/>
    </row>
    <row r="13">
      <c r="B13" s="10" t="inlineStr">
        <is>
          <t>Primary Taxpayer</t>
        </is>
      </c>
      <c r="C13" s="6" t="n"/>
      <c r="D13" s="10" t="inlineStr">
        <is>
          <t>Spouse (if MFJ/MFS)</t>
        </is>
      </c>
      <c r="E13" s="5" t="n"/>
      <c r="F13" s="6" t="n"/>
    </row>
    <row r="14">
      <c r="B14" s="7" t="inlineStr">
        <is>
          <t>First Name</t>
        </is>
      </c>
      <c r="C14" s="11" t="n"/>
      <c r="D14" s="7" t="inlineStr">
        <is>
          <t>First Name</t>
        </is>
      </c>
      <c r="E14" s="11" t="n"/>
    </row>
    <row r="15">
      <c r="B15" s="7" t="inlineStr">
        <is>
          <t>Middle Initial</t>
        </is>
      </c>
      <c r="C15" s="11" t="n"/>
      <c r="D15" s="7" t="inlineStr">
        <is>
          <t>Middle Initial</t>
        </is>
      </c>
      <c r="E15" s="11" t="n"/>
    </row>
    <row r="16">
      <c r="B16" s="7" t="inlineStr">
        <is>
          <t>Last Name</t>
        </is>
      </c>
      <c r="C16" s="11" t="n"/>
      <c r="D16" s="7" t="inlineStr">
        <is>
          <t>Last Name</t>
        </is>
      </c>
      <c r="E16" s="11" t="n"/>
    </row>
    <row r="17">
      <c r="B17" s="7" t="inlineStr">
        <is>
          <t>Social Security Number</t>
        </is>
      </c>
      <c r="C17" s="11" t="n"/>
      <c r="D17" s="7" t="inlineStr">
        <is>
          <t>Social Security Number</t>
        </is>
      </c>
      <c r="E17" s="11" t="n"/>
    </row>
    <row r="18">
      <c r="B18" s="7" t="inlineStr">
        <is>
          <t>Date of Birth</t>
        </is>
      </c>
      <c r="C18" s="12" t="n"/>
      <c r="D18" s="7" t="inlineStr">
        <is>
          <t>Date of Birth</t>
        </is>
      </c>
      <c r="E18" s="12" t="n"/>
    </row>
    <row r="19">
      <c r="B19" s="7" t="inlineStr">
        <is>
          <t>Occupation</t>
        </is>
      </c>
      <c r="C19" s="11" t="n"/>
      <c r="D19" s="7" t="inlineStr">
        <is>
          <t>Occupation</t>
        </is>
      </c>
      <c r="E19" s="11" t="n"/>
    </row>
    <row r="20">
      <c r="B20" s="7" t="inlineStr">
        <is>
          <t>Phone Number</t>
        </is>
      </c>
      <c r="C20" s="11" t="n"/>
      <c r="D20" s="7" t="inlineStr">
        <is>
          <t>Phone Number</t>
        </is>
      </c>
      <c r="E20" s="11" t="n"/>
    </row>
    <row r="21">
      <c r="B21" s="7" t="inlineStr">
        <is>
          <t>Email Address</t>
        </is>
      </c>
      <c r="C21" s="11" t="n"/>
      <c r="D21" s="7" t="inlineStr">
        <is>
          <t>Email Address</t>
        </is>
      </c>
      <c r="E21" s="11" t="n"/>
    </row>
    <row r="22">
      <c r="B22" s="7" t="inlineStr">
        <is>
          <t>Legally Blind? (Y/N)</t>
        </is>
      </c>
      <c r="C22" s="11" t="n"/>
      <c r="D22" s="7" t="inlineStr">
        <is>
          <t>Legally Blind? (Y/N)</t>
        </is>
      </c>
      <c r="E22" s="11" t="n"/>
    </row>
    <row r="23">
      <c r="B23" s="7" t="inlineStr">
        <is>
          <t>Age 65 or Older? (Y/N)</t>
        </is>
      </c>
      <c r="C23" s="11" t="n"/>
      <c r="D23" s="7" t="inlineStr">
        <is>
          <t>Age 65 or Older? (Y/N)</t>
        </is>
      </c>
      <c r="E23" s="11" t="n"/>
    </row>
    <row r="24">
      <c r="B24" s="7" t="inlineStr">
        <is>
          <t>US Citizen? (Y/N)</t>
        </is>
      </c>
      <c r="C24" s="11" t="n"/>
      <c r="D24" s="7" t="inlineStr">
        <is>
          <t>US Citizen? (Y/N)</t>
        </is>
      </c>
      <c r="E24" s="11" t="n"/>
    </row>
    <row r="25">
      <c r="B25" s="7" t="inlineStr">
        <is>
          <t>Resident Alien? (Y/N)</t>
        </is>
      </c>
      <c r="C25" s="11" t="n"/>
      <c r="D25" s="7" t="inlineStr">
        <is>
          <t>Resident Alien? (Y/N)</t>
        </is>
      </c>
      <c r="E25" s="11" t="n"/>
    </row>
    <row r="27">
      <c r="B27" s="4" t="inlineStr">
        <is>
          <t>SECTION 3: MAILING ADDRESS</t>
        </is>
      </c>
      <c r="C27" s="5" t="n"/>
      <c r="D27" s="5" t="n"/>
      <c r="E27" s="5" t="n"/>
      <c r="F27" s="6" t="n"/>
    </row>
    <row r="28">
      <c r="B28" s="7" t="inlineStr">
        <is>
          <t>Street Address</t>
        </is>
      </c>
      <c r="C28" s="8" t="n"/>
    </row>
    <row r="29">
      <c r="B29" s="7" t="inlineStr">
        <is>
          <t>Apartment Number</t>
        </is>
      </c>
      <c r="C29" s="8" t="n"/>
    </row>
    <row r="30">
      <c r="B30" s="7" t="inlineStr">
        <is>
          <t>City</t>
        </is>
      </c>
      <c r="C30" s="8" t="n"/>
    </row>
    <row r="31">
      <c r="B31" s="7" t="inlineStr">
        <is>
          <t>State</t>
        </is>
      </c>
      <c r="C31" s="8" t="n"/>
    </row>
    <row r="32">
      <c r="B32" s="7" t="inlineStr">
        <is>
          <t>ZIP Code</t>
        </is>
      </c>
      <c r="C32" s="8" t="n"/>
    </row>
    <row r="33">
      <c r="B33" s="7" t="inlineStr">
        <is>
          <t>Foreign Country Name</t>
        </is>
      </c>
      <c r="C33" s="8" t="n"/>
    </row>
    <row r="34">
      <c r="B34" s="7" t="inlineStr">
        <is>
          <t>Foreign Province/State</t>
        </is>
      </c>
      <c r="C34" s="8" t="n"/>
    </row>
    <row r="35">
      <c r="B35" s="7" t="inlineStr">
        <is>
          <t>Foreign Postal Code</t>
        </is>
      </c>
      <c r="C35" s="8" t="n"/>
    </row>
    <row r="37">
      <c r="B37" s="4" t="inlineStr">
        <is>
          <t>SECTION 4: DEPENDENTS</t>
        </is>
      </c>
      <c r="C37" s="5" t="n"/>
      <c r="D37" s="5" t="n"/>
      <c r="E37" s="5" t="n"/>
      <c r="F37" s="5" t="n"/>
      <c r="G37" s="5" t="n"/>
      <c r="H37" s="5" t="n"/>
      <c r="I37" s="6" t="n"/>
    </row>
    <row r="38">
      <c r="B38" s="13" t="inlineStr">
        <is>
          <t>First Name</t>
        </is>
      </c>
      <c r="C38" s="13" t="inlineStr">
        <is>
          <t>Last Name</t>
        </is>
      </c>
      <c r="D38" s="13" t="inlineStr">
        <is>
          <t>SSN</t>
        </is>
      </c>
      <c r="E38" s="13" t="inlineStr">
        <is>
          <t>Relationship</t>
        </is>
      </c>
      <c r="F38" s="13" t="inlineStr">
        <is>
          <t>Date of Birth</t>
        </is>
      </c>
      <c r="G38" s="13" t="inlineStr">
        <is>
          <t>Months Lived w/ You</t>
        </is>
      </c>
      <c r="H38" s="13" t="inlineStr">
        <is>
          <t>Child Tax Credit (Y/N)</t>
        </is>
      </c>
      <c r="I38" s="13" t="inlineStr">
        <is>
          <t>Other Dependent Credit (Y/N)</t>
        </is>
      </c>
    </row>
    <row r="39">
      <c r="B39" s="11" t="n"/>
      <c r="C39" s="11" t="n"/>
      <c r="D39" s="11" t="n"/>
      <c r="E39" s="11" t="n"/>
      <c r="F39" s="12" t="n"/>
      <c r="G39" s="11" t="n"/>
      <c r="H39" s="11" t="n"/>
      <c r="I39" s="11" t="n"/>
    </row>
    <row r="40">
      <c r="B40" s="11" t="n"/>
      <c r="C40" s="11" t="n"/>
      <c r="D40" s="11" t="n"/>
      <c r="E40" s="11" t="n"/>
      <c r="F40" s="12" t="n"/>
      <c r="G40" s="11" t="n"/>
      <c r="H40" s="11" t="n"/>
      <c r="I40" s="11" t="n"/>
    </row>
    <row r="41">
      <c r="B41" s="11" t="n"/>
      <c r="C41" s="11" t="n"/>
      <c r="D41" s="11" t="n"/>
      <c r="E41" s="11" t="n"/>
      <c r="F41" s="12" t="n"/>
      <c r="G41" s="11" t="n"/>
      <c r="H41" s="11" t="n"/>
      <c r="I41" s="11" t="n"/>
    </row>
    <row r="42">
      <c r="B42" s="11" t="n"/>
      <c r="C42" s="11" t="n"/>
      <c r="D42" s="11" t="n"/>
      <c r="E42" s="11" t="n"/>
      <c r="F42" s="12" t="n"/>
      <c r="G42" s="11" t="n"/>
      <c r="H42" s="11" t="n"/>
      <c r="I42" s="11" t="n"/>
    </row>
    <row r="43">
      <c r="B43" s="11" t="n"/>
      <c r="C43" s="11" t="n"/>
      <c r="D43" s="11" t="n"/>
      <c r="E43" s="11" t="n"/>
      <c r="F43" s="12" t="n"/>
      <c r="G43" s="11" t="n"/>
      <c r="H43" s="11" t="n"/>
      <c r="I43" s="11" t="n"/>
    </row>
    <row r="44">
      <c r="B44" s="11" t="n"/>
      <c r="C44" s="11" t="n"/>
      <c r="D44" s="11" t="n"/>
      <c r="E44" s="11" t="n"/>
      <c r="F44" s="12" t="n"/>
      <c r="G44" s="11" t="n"/>
      <c r="H44" s="11" t="n"/>
      <c r="I44" s="11" t="n"/>
    </row>
    <row r="45">
      <c r="B45" s="11" t="n"/>
      <c r="C45" s="11" t="n"/>
      <c r="D45" s="11" t="n"/>
      <c r="E45" s="11" t="n"/>
      <c r="F45" s="12" t="n"/>
      <c r="G45" s="11" t="n"/>
      <c r="H45" s="11" t="n"/>
      <c r="I45" s="11" t="n"/>
    </row>
    <row r="46">
      <c r="B46" s="11" t="n"/>
      <c r="C46" s="11" t="n"/>
      <c r="D46" s="11" t="n"/>
      <c r="E46" s="11" t="n"/>
      <c r="F46" s="12" t="n"/>
      <c r="G46" s="11" t="n"/>
      <c r="H46" s="11" t="n"/>
      <c r="I46" s="11" t="n"/>
    </row>
    <row r="47">
      <c r="B47" s="11" t="n"/>
      <c r="C47" s="11" t="n"/>
      <c r="D47" s="11" t="n"/>
      <c r="E47" s="11" t="n"/>
      <c r="F47" s="12" t="n"/>
      <c r="G47" s="11" t="n"/>
      <c r="H47" s="11" t="n"/>
      <c r="I47" s="11" t="n"/>
    </row>
    <row r="48">
      <c r="B48" s="11" t="n"/>
      <c r="C48" s="11" t="n"/>
      <c r="D48" s="11" t="n"/>
      <c r="E48" s="11" t="n"/>
      <c r="F48" s="12" t="n"/>
      <c r="G48" s="11" t="n"/>
      <c r="H48" s="11" t="n"/>
      <c r="I48" s="11" t="n"/>
    </row>
    <row r="50">
      <c r="B50" s="4" t="inlineStr">
        <is>
          <t>SECTION 5: INCOME — WAGES (W-2)</t>
        </is>
      </c>
      <c r="C50" s="5" t="n"/>
      <c r="D50" s="5" t="n"/>
      <c r="E50" s="5" t="n"/>
      <c r="F50" s="5" t="n"/>
      <c r="G50" s="5" t="n"/>
      <c r="H50" s="5" t="n"/>
      <c r="I50" s="6" t="n"/>
    </row>
    <row r="51">
      <c r="B51" s="13" t="inlineStr">
        <is>
          <t>Employer Name</t>
        </is>
      </c>
      <c r="C51" s="13" t="inlineStr">
        <is>
          <t>EIN</t>
        </is>
      </c>
      <c r="D51" s="13" t="inlineStr">
        <is>
          <t>Wages (Box 1)</t>
        </is>
      </c>
      <c r="E51" s="13" t="inlineStr">
        <is>
          <t>Federal Tax Withheld (Box 2)</t>
        </is>
      </c>
      <c r="F51" s="13" t="inlineStr">
        <is>
          <t>SS Wages (Box 3)</t>
        </is>
      </c>
      <c r="G51" s="13" t="inlineStr">
        <is>
          <t>SS Tax (Box 4)</t>
        </is>
      </c>
      <c r="H51" s="13" t="inlineStr">
        <is>
          <t>Medicare Wages (Box 5)</t>
        </is>
      </c>
      <c r="I51" s="13" t="inlineStr">
        <is>
          <t>Medicare Tax (Box 6)</t>
        </is>
      </c>
    </row>
    <row r="52">
      <c r="B52" s="11" t="n"/>
      <c r="C52" s="11" t="n"/>
      <c r="D52" s="14" t="n"/>
      <c r="E52" s="14" t="n"/>
      <c r="F52" s="14" t="n"/>
      <c r="G52" s="14" t="n"/>
      <c r="H52" s="14" t="n"/>
      <c r="I52" s="14" t="n"/>
    </row>
    <row r="53">
      <c r="B53" s="11" t="n"/>
      <c r="C53" s="11" t="n"/>
      <c r="D53" s="14" t="n"/>
      <c r="E53" s="14" t="n"/>
      <c r="F53" s="14" t="n"/>
      <c r="G53" s="14" t="n"/>
      <c r="H53" s="14" t="n"/>
      <c r="I53" s="14" t="n"/>
    </row>
    <row r="54">
      <c r="B54" s="11" t="n"/>
      <c r="C54" s="11" t="n"/>
      <c r="D54" s="14" t="n"/>
      <c r="E54" s="14" t="n"/>
      <c r="F54" s="14" t="n"/>
      <c r="G54" s="14" t="n"/>
      <c r="H54" s="14" t="n"/>
      <c r="I54" s="14" t="n"/>
    </row>
    <row r="55">
      <c r="B55" s="11" t="n"/>
      <c r="C55" s="11" t="n"/>
      <c r="D55" s="14" t="n"/>
      <c r="E55" s="14" t="n"/>
      <c r="F55" s="14" t="n"/>
      <c r="G55" s="14" t="n"/>
      <c r="H55" s="14" t="n"/>
      <c r="I55" s="14" t="n"/>
    </row>
    <row r="56">
      <c r="B56" s="11" t="n"/>
      <c r="C56" s="11" t="n"/>
      <c r="D56" s="14" t="n"/>
      <c r="E56" s="14" t="n"/>
      <c r="F56" s="14" t="n"/>
      <c r="G56" s="14" t="n"/>
      <c r="H56" s="14" t="n"/>
      <c r="I56" s="14" t="n"/>
    </row>
    <row r="57">
      <c r="B57" s="15" t="inlineStr">
        <is>
          <t>Total Wages</t>
        </is>
      </c>
      <c r="D57" s="16">
        <f>SUM(D52:D56)</f>
        <v/>
      </c>
      <c r="E57" s="16">
        <f>SUM(E52:E56)</f>
        <v/>
      </c>
    </row>
    <row r="59">
      <c r="B59" s="4" t="inlineStr">
        <is>
          <t>SECTION 6: INTEREST INCOME (1099-INT)</t>
        </is>
      </c>
      <c r="C59" s="5" t="n"/>
      <c r="D59" s="5" t="n"/>
      <c r="E59" s="5" t="n"/>
      <c r="F59" s="5" t="n"/>
      <c r="G59" s="6" t="n"/>
    </row>
    <row r="60">
      <c r="B60" s="13" t="inlineStr">
        <is>
          <t>Payer Name</t>
        </is>
      </c>
      <c r="C60" s="13" t="inlineStr">
        <is>
          <t>EIN</t>
        </is>
      </c>
      <c r="D60" s="13" t="inlineStr">
        <is>
          <t>Interest (Box 1)</t>
        </is>
      </c>
      <c r="E60" s="13" t="inlineStr">
        <is>
          <t>Tax-Exempt Interest</t>
        </is>
      </c>
      <c r="F60" s="13" t="inlineStr">
        <is>
          <t>Federal Tax Withheld</t>
        </is>
      </c>
      <c r="G60" s="13" t="inlineStr">
        <is>
          <t>Foreign Tax Paid</t>
        </is>
      </c>
    </row>
    <row r="61">
      <c r="B61" s="11" t="n"/>
      <c r="C61" s="11" t="n"/>
      <c r="D61" s="14" t="n"/>
      <c r="E61" s="14" t="n"/>
      <c r="F61" s="14" t="n"/>
      <c r="G61" s="14" t="n"/>
    </row>
    <row r="62">
      <c r="B62" s="11" t="n"/>
      <c r="C62" s="11" t="n"/>
      <c r="D62" s="14" t="n"/>
      <c r="E62" s="14" t="n"/>
      <c r="F62" s="14" t="n"/>
      <c r="G62" s="14" t="n"/>
    </row>
    <row r="63">
      <c r="B63" s="11" t="n"/>
      <c r="C63" s="11" t="n"/>
      <c r="D63" s="14" t="n"/>
      <c r="E63" s="14" t="n"/>
      <c r="F63" s="14" t="n"/>
      <c r="G63" s="14" t="n"/>
    </row>
    <row r="64">
      <c r="B64" s="11" t="n"/>
      <c r="C64" s="11" t="n"/>
      <c r="D64" s="14" t="n"/>
      <c r="E64" s="14" t="n"/>
      <c r="F64" s="14" t="n"/>
      <c r="G64" s="14" t="n"/>
    </row>
    <row r="65">
      <c r="B65" s="11" t="n"/>
      <c r="C65" s="11" t="n"/>
      <c r="D65" s="14" t="n"/>
      <c r="E65" s="14" t="n"/>
      <c r="F65" s="14" t="n"/>
      <c r="G65" s="14" t="n"/>
    </row>
    <row r="66">
      <c r="B66" s="11" t="n"/>
      <c r="C66" s="11" t="n"/>
      <c r="D66" s="14" t="n"/>
      <c r="E66" s="14" t="n"/>
      <c r="F66" s="14" t="n"/>
      <c r="G66" s="14" t="n"/>
    </row>
    <row r="67">
      <c r="B67" s="11" t="n"/>
      <c r="C67" s="11" t="n"/>
      <c r="D67" s="14" t="n"/>
      <c r="E67" s="14" t="n"/>
      <c r="F67" s="14" t="n"/>
      <c r="G67" s="14" t="n"/>
    </row>
    <row r="68">
      <c r="B68" s="11" t="n"/>
      <c r="C68" s="11" t="n"/>
      <c r="D68" s="14" t="n"/>
      <c r="E68" s="14" t="n"/>
      <c r="F68" s="14" t="n"/>
      <c r="G68" s="14" t="n"/>
    </row>
    <row r="69">
      <c r="B69" s="15" t="inlineStr">
        <is>
          <t>Total Taxable Interest</t>
        </is>
      </c>
      <c r="D69" s="16">
        <f>SUM(D61:D68)</f>
        <v/>
      </c>
    </row>
    <row r="70">
      <c r="B70" s="15" t="inlineStr">
        <is>
          <t>Total Tax-Exempt Interest</t>
        </is>
      </c>
      <c r="E70" s="16">
        <f>SUM(E61:E68)</f>
        <v/>
      </c>
    </row>
    <row r="72">
      <c r="B72" s="4" t="inlineStr">
        <is>
          <t>SECTION 7: DIVIDEND INCOME (1099-DIV)</t>
        </is>
      </c>
      <c r="C72" s="5" t="n"/>
      <c r="D72" s="5" t="n"/>
      <c r="E72" s="5" t="n"/>
      <c r="F72" s="5" t="n"/>
      <c r="G72" s="5" t="n"/>
      <c r="H72" s="6" t="n"/>
    </row>
    <row r="73">
      <c r="B73" s="13" t="inlineStr">
        <is>
          <t>Payer Name</t>
        </is>
      </c>
      <c r="C73" s="13" t="inlineStr">
        <is>
          <t>Total Ordinary Div</t>
        </is>
      </c>
      <c r="D73" s="13" t="inlineStr">
        <is>
          <t>Qualified Dividends</t>
        </is>
      </c>
      <c r="E73" s="13" t="inlineStr">
        <is>
          <t>Capital Gain Dist</t>
        </is>
      </c>
      <c r="F73" s="13" t="inlineStr">
        <is>
          <t>Nondividend Dist</t>
        </is>
      </c>
      <c r="G73" s="13" t="inlineStr">
        <is>
          <t>Federal Tax Withheld</t>
        </is>
      </c>
      <c r="H73" s="13" t="inlineStr">
        <is>
          <t>Foreign Tax Paid</t>
        </is>
      </c>
    </row>
    <row r="74">
      <c r="B74" s="11" t="n"/>
      <c r="C74" s="14" t="n"/>
      <c r="D74" s="14" t="n"/>
      <c r="E74" s="14" t="n"/>
      <c r="F74" s="14" t="n"/>
      <c r="G74" s="14" t="n"/>
      <c r="H74" s="14" t="n"/>
    </row>
    <row r="75">
      <c r="B75" s="11" t="n"/>
      <c r="C75" s="14" t="n"/>
      <c r="D75" s="14" t="n"/>
      <c r="E75" s="14" t="n"/>
      <c r="F75" s="14" t="n"/>
      <c r="G75" s="14" t="n"/>
      <c r="H75" s="14" t="n"/>
    </row>
    <row r="76">
      <c r="B76" s="11" t="n"/>
      <c r="C76" s="14" t="n"/>
      <c r="D76" s="14" t="n"/>
      <c r="E76" s="14" t="n"/>
      <c r="F76" s="14" t="n"/>
      <c r="G76" s="14" t="n"/>
      <c r="H76" s="14" t="n"/>
    </row>
    <row r="77">
      <c r="B77" s="11" t="n"/>
      <c r="C77" s="14" t="n"/>
      <c r="D77" s="14" t="n"/>
      <c r="E77" s="14" t="n"/>
      <c r="F77" s="14" t="n"/>
      <c r="G77" s="14" t="n"/>
      <c r="H77" s="14" t="n"/>
    </row>
    <row r="78">
      <c r="B78" s="11" t="n"/>
      <c r="C78" s="14" t="n"/>
      <c r="D78" s="14" t="n"/>
      <c r="E78" s="14" t="n"/>
      <c r="F78" s="14" t="n"/>
      <c r="G78" s="14" t="n"/>
      <c r="H78" s="14" t="n"/>
    </row>
    <row r="79">
      <c r="B79" s="11" t="n"/>
      <c r="C79" s="14" t="n"/>
      <c r="D79" s="14" t="n"/>
      <c r="E79" s="14" t="n"/>
      <c r="F79" s="14" t="n"/>
      <c r="G79" s="14" t="n"/>
      <c r="H79" s="14" t="n"/>
    </row>
    <row r="80">
      <c r="B80" s="11" t="n"/>
      <c r="C80" s="14" t="n"/>
      <c r="D80" s="14" t="n"/>
      <c r="E80" s="14" t="n"/>
      <c r="F80" s="14" t="n"/>
      <c r="G80" s="14" t="n"/>
      <c r="H80" s="14" t="n"/>
    </row>
    <row r="81">
      <c r="B81" s="11" t="n"/>
      <c r="C81" s="14" t="n"/>
      <c r="D81" s="14" t="n"/>
      <c r="E81" s="14" t="n"/>
      <c r="F81" s="14" t="n"/>
      <c r="G81" s="14" t="n"/>
      <c r="H81" s="14" t="n"/>
    </row>
    <row r="82">
      <c r="B82" s="15" t="inlineStr">
        <is>
          <t>Total Ordinary Dividends</t>
        </is>
      </c>
      <c r="C82" s="16">
        <f>SUM(C74:C81)</f>
        <v/>
      </c>
    </row>
    <row r="83">
      <c r="B83" s="15" t="inlineStr">
        <is>
          <t>Total Qualified Dividends</t>
        </is>
      </c>
      <c r="D83" s="16">
        <f>SUM(D74:D81)</f>
        <v/>
      </c>
    </row>
    <row r="85">
      <c r="B85" s="4" t="inlineStr">
        <is>
          <t>SECTION 8: CAPITAL GAINS &amp; LOSSES (1099-B / Form 8949)</t>
        </is>
      </c>
      <c r="C85" s="5" t="n"/>
      <c r="D85" s="5" t="n"/>
      <c r="E85" s="5" t="n"/>
      <c r="F85" s="5" t="n"/>
      <c r="G85" s="5" t="n"/>
      <c r="H85" s="5" t="n"/>
      <c r="I85" s="6" t="n"/>
    </row>
    <row r="86">
      <c r="B86" s="13" t="inlineStr">
        <is>
          <t>Description of Property</t>
        </is>
      </c>
      <c r="C86" s="13" t="inlineStr">
        <is>
          <t>Date Acquired</t>
        </is>
      </c>
      <c r="D86" s="13" t="inlineStr">
        <is>
          <t>Date Sold</t>
        </is>
      </c>
      <c r="E86" s="13" t="inlineStr">
        <is>
          <t>Proceeds</t>
        </is>
      </c>
      <c r="F86" s="13" t="inlineStr">
        <is>
          <t>Cost Basis</t>
        </is>
      </c>
      <c r="G86" s="13" t="inlineStr">
        <is>
          <t>Adjustment Code</t>
        </is>
      </c>
      <c r="H86" s="13" t="inlineStr">
        <is>
          <t>Adjustment Amt</t>
        </is>
      </c>
      <c r="I86" s="13" t="inlineStr">
        <is>
          <t>Short/Long (S/L)</t>
        </is>
      </c>
    </row>
    <row r="87">
      <c r="B87" s="11" t="n"/>
      <c r="C87" s="12" t="n"/>
      <c r="D87" s="12" t="n"/>
      <c r="E87" s="14" t="n"/>
      <c r="F87" s="14" t="n"/>
      <c r="G87" s="8" t="n"/>
      <c r="H87" s="14" t="n"/>
      <c r="I87" s="8" t="n"/>
    </row>
    <row r="88">
      <c r="B88" s="11" t="n"/>
      <c r="C88" s="12" t="n"/>
      <c r="D88" s="12" t="n"/>
      <c r="E88" s="14" t="n"/>
      <c r="F88" s="14" t="n"/>
      <c r="G88" s="8" t="n"/>
      <c r="H88" s="14" t="n"/>
      <c r="I88" s="8" t="n"/>
    </row>
    <row r="89">
      <c r="B89" s="11" t="n"/>
      <c r="C89" s="12" t="n"/>
      <c r="D89" s="12" t="n"/>
      <c r="E89" s="14" t="n"/>
      <c r="F89" s="14" t="n"/>
      <c r="G89" s="8" t="n"/>
      <c r="H89" s="14" t="n"/>
      <c r="I89" s="8" t="n"/>
    </row>
    <row r="90">
      <c r="B90" s="11" t="n"/>
      <c r="C90" s="12" t="n"/>
      <c r="D90" s="12" t="n"/>
      <c r="E90" s="14" t="n"/>
      <c r="F90" s="14" t="n"/>
      <c r="G90" s="8" t="n"/>
      <c r="H90" s="14" t="n"/>
      <c r="I90" s="8" t="n"/>
    </row>
    <row r="91">
      <c r="B91" s="11" t="n"/>
      <c r="C91" s="12" t="n"/>
      <c r="D91" s="12" t="n"/>
      <c r="E91" s="14" t="n"/>
      <c r="F91" s="14" t="n"/>
      <c r="G91" s="8" t="n"/>
      <c r="H91" s="14" t="n"/>
      <c r="I91" s="8" t="n"/>
    </row>
    <row r="92">
      <c r="B92" s="11" t="n"/>
      <c r="C92" s="12" t="n"/>
      <c r="D92" s="12" t="n"/>
      <c r="E92" s="14" t="n"/>
      <c r="F92" s="14" t="n"/>
      <c r="G92" s="8" t="n"/>
      <c r="H92" s="14" t="n"/>
      <c r="I92" s="8" t="n"/>
    </row>
    <row r="93">
      <c r="B93" s="11" t="n"/>
      <c r="C93" s="12" t="n"/>
      <c r="D93" s="12" t="n"/>
      <c r="E93" s="14" t="n"/>
      <c r="F93" s="14" t="n"/>
      <c r="G93" s="8" t="n"/>
      <c r="H93" s="14" t="n"/>
      <c r="I93" s="8" t="n"/>
    </row>
    <row r="94">
      <c r="B94" s="11" t="n"/>
      <c r="C94" s="12" t="n"/>
      <c r="D94" s="12" t="n"/>
      <c r="E94" s="14" t="n"/>
      <c r="F94" s="14" t="n"/>
      <c r="G94" s="8" t="n"/>
      <c r="H94" s="14" t="n"/>
      <c r="I94" s="8" t="n"/>
    </row>
    <row r="95">
      <c r="B95" s="11" t="n"/>
      <c r="C95" s="12" t="n"/>
      <c r="D95" s="12" t="n"/>
      <c r="E95" s="14" t="n"/>
      <c r="F95" s="14" t="n"/>
      <c r="G95" s="8" t="n"/>
      <c r="H95" s="14" t="n"/>
      <c r="I95" s="8" t="n"/>
    </row>
    <row r="96">
      <c r="B96" s="11" t="n"/>
      <c r="C96" s="12" t="n"/>
      <c r="D96" s="12" t="n"/>
      <c r="E96" s="14" t="n"/>
      <c r="F96" s="14" t="n"/>
      <c r="G96" s="8" t="n"/>
      <c r="H96" s="14" t="n"/>
      <c r="I96" s="8" t="n"/>
    </row>
    <row r="97">
      <c r="B97" s="11" t="n"/>
      <c r="C97" s="12" t="n"/>
      <c r="D97" s="12" t="n"/>
      <c r="E97" s="14" t="n"/>
      <c r="F97" s="14" t="n"/>
      <c r="G97" s="8" t="n"/>
      <c r="H97" s="14" t="n"/>
      <c r="I97" s="8" t="n"/>
    </row>
    <row r="98">
      <c r="B98" s="11" t="n"/>
      <c r="C98" s="12" t="n"/>
      <c r="D98" s="12" t="n"/>
      <c r="E98" s="14" t="n"/>
      <c r="F98" s="14" t="n"/>
      <c r="G98" s="8" t="n"/>
      <c r="H98" s="14" t="n"/>
      <c r="I98" s="8" t="n"/>
    </row>
    <row r="99">
      <c r="B99" s="11" t="n"/>
      <c r="C99" s="12" t="n"/>
      <c r="D99" s="12" t="n"/>
      <c r="E99" s="14" t="n"/>
      <c r="F99" s="14" t="n"/>
      <c r="G99" s="8" t="n"/>
      <c r="H99" s="14" t="n"/>
      <c r="I99" s="8" t="n"/>
    </row>
    <row r="100">
      <c r="B100" s="11" t="n"/>
      <c r="C100" s="12" t="n"/>
      <c r="D100" s="12" t="n"/>
      <c r="E100" s="14" t="n"/>
      <c r="F100" s="14" t="n"/>
      <c r="G100" s="8" t="n"/>
      <c r="H100" s="14" t="n"/>
      <c r="I100" s="8" t="n"/>
    </row>
    <row r="101">
      <c r="B101" s="11" t="n"/>
      <c r="C101" s="12" t="n"/>
      <c r="D101" s="12" t="n"/>
      <c r="E101" s="14" t="n"/>
      <c r="F101" s="14" t="n"/>
      <c r="G101" s="8" t="n"/>
      <c r="H101" s="14" t="n"/>
      <c r="I101" s="8" t="n"/>
    </row>
    <row r="102">
      <c r="B102" s="11" t="n"/>
      <c r="C102" s="12" t="n"/>
      <c r="D102" s="12" t="n"/>
      <c r="E102" s="14" t="n"/>
      <c r="F102" s="14" t="n"/>
      <c r="G102" s="8" t="n"/>
      <c r="H102" s="14" t="n"/>
      <c r="I102" s="8" t="n"/>
    </row>
    <row r="103">
      <c r="B103" s="11" t="n"/>
      <c r="C103" s="12" t="n"/>
      <c r="D103" s="12" t="n"/>
      <c r="E103" s="14" t="n"/>
      <c r="F103" s="14" t="n"/>
      <c r="G103" s="8" t="n"/>
      <c r="H103" s="14" t="n"/>
      <c r="I103" s="8" t="n"/>
    </row>
    <row r="104">
      <c r="B104" s="11" t="n"/>
      <c r="C104" s="12" t="n"/>
      <c r="D104" s="12" t="n"/>
      <c r="E104" s="14" t="n"/>
      <c r="F104" s="14" t="n"/>
      <c r="G104" s="8" t="n"/>
      <c r="H104" s="14" t="n"/>
      <c r="I104" s="8" t="n"/>
    </row>
    <row r="105">
      <c r="B105" s="11" t="n"/>
      <c r="C105" s="12" t="n"/>
      <c r="D105" s="12" t="n"/>
      <c r="E105" s="14" t="n"/>
      <c r="F105" s="14" t="n"/>
      <c r="G105" s="8" t="n"/>
      <c r="H105" s="14" t="n"/>
      <c r="I105" s="8" t="n"/>
    </row>
    <row r="106">
      <c r="B106" s="11" t="n"/>
      <c r="C106" s="12" t="n"/>
      <c r="D106" s="12" t="n"/>
      <c r="E106" s="14" t="n"/>
      <c r="F106" s="14" t="n"/>
      <c r="G106" s="8" t="n"/>
      <c r="H106" s="14" t="n"/>
      <c r="I106" s="8" t="n"/>
    </row>
    <row r="107">
      <c r="B107" s="15" t="inlineStr">
        <is>
          <t>Total Proceeds</t>
        </is>
      </c>
      <c r="E107" s="16">
        <f>SUM(E87:E106)</f>
        <v/>
      </c>
    </row>
    <row r="108">
      <c r="B108" s="15" t="inlineStr">
        <is>
          <t>Total Cost Basis</t>
        </is>
      </c>
      <c r="F108" s="16">
        <f>SUM(F87:F106)</f>
        <v/>
      </c>
    </row>
    <row r="110">
      <c r="B110" s="4" t="inlineStr">
        <is>
          <t>SECTION 9: BUSINESS INCOME (Schedule C)</t>
        </is>
      </c>
      <c r="C110" s="5" t="n"/>
      <c r="D110" s="5" t="n"/>
      <c r="E110" s="5" t="n"/>
      <c r="F110" s="6" t="n"/>
    </row>
    <row r="111">
      <c r="B111" s="7" t="inlineStr">
        <is>
          <t>Business Name</t>
        </is>
      </c>
      <c r="C111" s="8" t="n"/>
    </row>
    <row r="112">
      <c r="B112" s="7" t="inlineStr">
        <is>
          <t>Business EIN</t>
        </is>
      </c>
      <c r="C112" s="8" t="n"/>
    </row>
    <row r="113">
      <c r="B113" s="7" t="inlineStr">
        <is>
          <t>Principal Business Code</t>
        </is>
      </c>
      <c r="C113" s="8" t="n"/>
      <c r="D113" s="9" t="inlineStr">
        <is>
          <t>NAICS code</t>
        </is>
      </c>
    </row>
    <row r="114">
      <c r="B114" s="7" t="inlineStr">
        <is>
          <t>Business Address</t>
        </is>
      </c>
      <c r="C114" s="8" t="n"/>
    </row>
    <row r="115">
      <c r="B115" s="7" t="inlineStr">
        <is>
          <t>Accounting Method</t>
        </is>
      </c>
      <c r="C115" s="8" t="n"/>
      <c r="D115" s="9" t="inlineStr">
        <is>
          <t>Cash/Accrual/Other</t>
        </is>
      </c>
    </row>
    <row r="116">
      <c r="B116" s="7" t="inlineStr">
        <is>
          <t>Gross Receipts/Sales</t>
        </is>
      </c>
      <c r="C116" s="14" t="n"/>
    </row>
    <row r="117">
      <c r="B117" s="7" t="inlineStr">
        <is>
          <t>Returns and Allowances</t>
        </is>
      </c>
      <c r="C117" s="14" t="n"/>
    </row>
    <row r="118">
      <c r="B118" s="7" t="inlineStr">
        <is>
          <t>Cost of Goods Sold</t>
        </is>
      </c>
      <c r="C118" s="14" t="n"/>
    </row>
    <row r="119">
      <c r="B119" s="7" t="inlineStr">
        <is>
          <t>Advertising</t>
        </is>
      </c>
      <c r="C119" s="14" t="n"/>
    </row>
    <row r="120">
      <c r="B120" s="7" t="inlineStr">
        <is>
          <t>Car/Truck Expenses</t>
        </is>
      </c>
      <c r="C120" s="14" t="n"/>
    </row>
    <row r="121">
      <c r="B121" s="7" t="inlineStr">
        <is>
          <t>Commissions/Fees</t>
        </is>
      </c>
      <c r="C121" s="14" t="n"/>
    </row>
    <row r="122">
      <c r="B122" s="7" t="inlineStr">
        <is>
          <t>Contract Labor</t>
        </is>
      </c>
      <c r="C122" s="14" t="n"/>
    </row>
    <row r="123">
      <c r="B123" s="7" t="inlineStr">
        <is>
          <t>Depreciation (Form 4562)</t>
        </is>
      </c>
      <c r="C123" s="14" t="n"/>
    </row>
    <row r="124">
      <c r="B124" s="7" t="inlineStr">
        <is>
          <t>Employee Benefit Programs</t>
        </is>
      </c>
      <c r="C124" s="14" t="n"/>
    </row>
    <row r="125">
      <c r="B125" s="7" t="inlineStr">
        <is>
          <t>Insurance (non-health)</t>
        </is>
      </c>
      <c r="C125" s="14" t="n"/>
    </row>
    <row r="126">
      <c r="B126" s="7" t="inlineStr">
        <is>
          <t>Interest (Mortgage)</t>
        </is>
      </c>
      <c r="C126" s="14" t="n"/>
    </row>
    <row r="127">
      <c r="B127" s="7" t="inlineStr">
        <is>
          <t>Interest (Other)</t>
        </is>
      </c>
      <c r="C127" s="14" t="n"/>
    </row>
    <row r="128">
      <c r="B128" s="7" t="inlineStr">
        <is>
          <t>Legal/Professional Services</t>
        </is>
      </c>
      <c r="C128" s="14" t="n"/>
    </row>
    <row r="129">
      <c r="B129" s="7" t="inlineStr">
        <is>
          <t>Office Expense</t>
        </is>
      </c>
      <c r="C129" s="14" t="n"/>
    </row>
    <row r="130">
      <c r="B130" s="7" t="inlineStr">
        <is>
          <t>Rent/Lease (Vehicles)</t>
        </is>
      </c>
      <c r="C130" s="14" t="n"/>
    </row>
    <row r="131">
      <c r="B131" s="7" t="inlineStr">
        <is>
          <t>Rent/Lease (Other)</t>
        </is>
      </c>
      <c r="C131" s="14" t="n"/>
    </row>
    <row r="132">
      <c r="B132" s="7" t="inlineStr">
        <is>
          <t>Repairs/Maintenance</t>
        </is>
      </c>
      <c r="C132" s="14" t="n"/>
    </row>
    <row r="133">
      <c r="B133" s="7" t="inlineStr">
        <is>
          <t>Supplies</t>
        </is>
      </c>
      <c r="C133" s="14" t="n"/>
    </row>
    <row r="134">
      <c r="B134" s="7" t="inlineStr">
        <is>
          <t>Taxes/Licenses</t>
        </is>
      </c>
      <c r="C134" s="14" t="n"/>
    </row>
    <row r="135">
      <c r="B135" s="7" t="inlineStr">
        <is>
          <t>Travel</t>
        </is>
      </c>
      <c r="C135" s="14" t="n"/>
    </row>
    <row r="136">
      <c r="B136" s="7" t="inlineStr">
        <is>
          <t>Meals (50%)</t>
        </is>
      </c>
      <c r="C136" s="14" t="n"/>
    </row>
    <row r="137">
      <c r="B137" s="7" t="inlineStr">
        <is>
          <t>Utilities</t>
        </is>
      </c>
      <c r="C137" s="14" t="n"/>
    </row>
    <row r="138">
      <c r="B138" s="7" t="inlineStr">
        <is>
          <t>Wages Paid</t>
        </is>
      </c>
      <c r="C138" s="14" t="n"/>
    </row>
    <row r="139">
      <c r="B139" s="7" t="inlineStr">
        <is>
          <t>Other Expenses (describe)</t>
        </is>
      </c>
      <c r="C139" s="8" t="n"/>
    </row>
    <row r="140">
      <c r="B140" s="7" t="inlineStr">
        <is>
          <t>Other Expenses Amount</t>
        </is>
      </c>
      <c r="C140" s="14" t="n"/>
    </row>
    <row r="141">
      <c r="B141" s="7" t="inlineStr">
        <is>
          <t>Business Use of Home</t>
        </is>
      </c>
      <c r="C141" s="14" t="n"/>
      <c r="D141" s="9" t="inlineStr">
        <is>
          <t>Form 8829 amount</t>
        </is>
      </c>
    </row>
    <row r="143">
      <c r="B143" s="4" t="inlineStr">
        <is>
          <t>SECTION 10: RENTAL REAL ESTATE (Schedule E)</t>
        </is>
      </c>
      <c r="C143" s="5" t="n"/>
      <c r="D143" s="5" t="n"/>
      <c r="E143" s="5" t="n"/>
      <c r="F143" s="5" t="n"/>
      <c r="G143" s="5" t="n"/>
      <c r="H143" s="6" t="n"/>
    </row>
    <row r="144">
      <c r="B144" s="10" t="inlineStr">
        <is>
          <t>Item</t>
        </is>
      </c>
      <c r="C144" s="10" t="inlineStr">
        <is>
          <t>Property 1</t>
        </is>
      </c>
      <c r="D144" s="10" t="inlineStr">
        <is>
          <t>Property 2</t>
        </is>
      </c>
      <c r="E144" s="10" t="inlineStr">
        <is>
          <t>Property 3</t>
        </is>
      </c>
    </row>
    <row r="145">
      <c r="B145" s="7" t="inlineStr">
        <is>
          <t>Property Address</t>
        </is>
      </c>
      <c r="C145" s="11" t="n"/>
      <c r="D145" s="11" t="n"/>
      <c r="E145" s="11" t="n"/>
    </row>
    <row r="146">
      <c r="B146" s="7" t="inlineStr">
        <is>
          <t>Property Type</t>
        </is>
      </c>
      <c r="C146" s="11" t="n"/>
      <c r="D146" s="11" t="n"/>
      <c r="E146" s="11" t="n"/>
    </row>
    <row r="147">
      <c r="B147" s="7" t="inlineStr">
        <is>
          <t>Days Rented</t>
        </is>
      </c>
      <c r="C147" s="17" t="n"/>
      <c r="D147" s="17" t="n"/>
      <c r="E147" s="17" t="n"/>
    </row>
    <row r="148">
      <c r="B148" s="7" t="inlineStr">
        <is>
          <t>Days Personal Use</t>
        </is>
      </c>
      <c r="C148" s="17" t="n"/>
      <c r="D148" s="17" t="n"/>
      <c r="E148" s="17" t="n"/>
    </row>
    <row r="149">
      <c r="B149" s="7" t="inlineStr">
        <is>
          <t>Rents Received</t>
        </is>
      </c>
      <c r="C149" s="14" t="n"/>
      <c r="D149" s="14" t="n"/>
      <c r="E149" s="14" t="n"/>
    </row>
    <row r="150">
      <c r="B150" s="7" t="inlineStr">
        <is>
          <t>Advertising</t>
        </is>
      </c>
      <c r="C150" s="14" t="n"/>
      <c r="D150" s="14" t="n"/>
      <c r="E150" s="14" t="n"/>
    </row>
    <row r="151">
      <c r="B151" s="7" t="inlineStr">
        <is>
          <t>Auto/Travel</t>
        </is>
      </c>
      <c r="C151" s="14" t="n"/>
      <c r="D151" s="14" t="n"/>
      <c r="E151" s="14" t="n"/>
    </row>
    <row r="152">
      <c r="B152" s="7" t="inlineStr">
        <is>
          <t>Cleaning/Maintenance</t>
        </is>
      </c>
      <c r="C152" s="14" t="n"/>
      <c r="D152" s="14" t="n"/>
      <c r="E152" s="14" t="n"/>
    </row>
    <row r="153">
      <c r="B153" s="7" t="inlineStr">
        <is>
          <t>Commissions</t>
        </is>
      </c>
      <c r="C153" s="14" t="n"/>
      <c r="D153" s="14" t="n"/>
      <c r="E153" s="14" t="n"/>
    </row>
    <row r="154">
      <c r="B154" s="7" t="inlineStr">
        <is>
          <t>Insurance</t>
        </is>
      </c>
      <c r="C154" s="14" t="n"/>
      <c r="D154" s="14" t="n"/>
      <c r="E154" s="14" t="n"/>
    </row>
    <row r="155">
      <c r="B155" s="7" t="inlineStr">
        <is>
          <t>Legal/Professional</t>
        </is>
      </c>
      <c r="C155" s="14" t="n"/>
      <c r="D155" s="14" t="n"/>
      <c r="E155" s="14" t="n"/>
    </row>
    <row r="156">
      <c r="B156" s="7" t="inlineStr">
        <is>
          <t>Management Fees</t>
        </is>
      </c>
      <c r="C156" s="14" t="n"/>
      <c r="D156" s="14" t="n"/>
      <c r="E156" s="14" t="n"/>
    </row>
    <row r="157">
      <c r="B157" s="7" t="inlineStr">
        <is>
          <t>Mortgage Interest</t>
        </is>
      </c>
      <c r="C157" s="14" t="n"/>
      <c r="D157" s="14" t="n"/>
      <c r="E157" s="14" t="n"/>
    </row>
    <row r="158">
      <c r="B158" s="7" t="inlineStr">
        <is>
          <t>Other Interest</t>
        </is>
      </c>
      <c r="C158" s="14" t="n"/>
      <c r="D158" s="14" t="n"/>
      <c r="E158" s="14" t="n"/>
    </row>
    <row r="159">
      <c r="B159" s="7" t="inlineStr">
        <is>
          <t>Repairs</t>
        </is>
      </c>
      <c r="C159" s="14" t="n"/>
      <c r="D159" s="14" t="n"/>
      <c r="E159" s="14" t="n"/>
    </row>
    <row r="160">
      <c r="B160" s="7" t="inlineStr">
        <is>
          <t>Supplies</t>
        </is>
      </c>
      <c r="C160" s="14" t="n"/>
      <c r="D160" s="14" t="n"/>
      <c r="E160" s="14" t="n"/>
    </row>
    <row r="161">
      <c r="B161" s="7" t="inlineStr">
        <is>
          <t>Taxes</t>
        </is>
      </c>
      <c r="C161" s="14" t="n"/>
      <c r="D161" s="14" t="n"/>
      <c r="E161" s="14" t="n"/>
    </row>
    <row r="162">
      <c r="B162" s="7" t="inlineStr">
        <is>
          <t>Utilities</t>
        </is>
      </c>
      <c r="C162" s="14" t="n"/>
      <c r="D162" s="14" t="n"/>
      <c r="E162" s="14" t="n"/>
    </row>
    <row r="163">
      <c r="B163" s="7" t="inlineStr">
        <is>
          <t>Depreciation</t>
        </is>
      </c>
      <c r="C163" s="14" t="n"/>
      <c r="D163" s="14" t="n"/>
      <c r="E163" s="14" t="n"/>
    </row>
    <row r="164">
      <c r="B164" s="7" t="inlineStr">
        <is>
          <t>Other Expenses</t>
        </is>
      </c>
      <c r="C164" s="14" t="n"/>
      <c r="D164" s="14" t="n"/>
      <c r="E164" s="14" t="n"/>
    </row>
    <row r="166">
      <c r="B166" s="4" t="inlineStr">
        <is>
          <t>SECTION 11: OTHER INCOME</t>
        </is>
      </c>
      <c r="C166" s="5" t="n"/>
      <c r="D166" s="5" t="n"/>
      <c r="E166" s="5" t="n"/>
      <c r="F166" s="6" t="n"/>
    </row>
    <row r="167">
      <c r="B167" s="7" t="inlineStr">
        <is>
          <t>State/Local Tax Refund (if itemized prior year)</t>
        </is>
      </c>
      <c r="C167" s="14" t="n"/>
    </row>
    <row r="168">
      <c r="B168" s="7" t="inlineStr">
        <is>
          <t>Alimony Received (pre-2019 divorce)</t>
        </is>
      </c>
      <c r="C168" s="14" t="n"/>
    </row>
    <row r="169">
      <c r="B169" s="7" t="inlineStr">
        <is>
          <t>IRA Distributions — Gross</t>
        </is>
      </c>
      <c r="C169" s="14" t="n"/>
    </row>
    <row r="170">
      <c r="B170" s="7" t="inlineStr">
        <is>
          <t>IRA Distributions — Taxable</t>
        </is>
      </c>
      <c r="C170" s="14" t="n"/>
    </row>
    <row r="171">
      <c r="B171" s="7" t="inlineStr">
        <is>
          <t>Pensions/Annuities — Gross</t>
        </is>
      </c>
      <c r="C171" s="14" t="n"/>
    </row>
    <row r="172">
      <c r="B172" s="7" t="inlineStr">
        <is>
          <t>Pensions/Annuities — Taxable</t>
        </is>
      </c>
      <c r="C172" s="14" t="n"/>
    </row>
    <row r="173">
      <c r="B173" s="7" t="inlineStr">
        <is>
          <t>Social Security Benefits — Gross</t>
        </is>
      </c>
      <c r="C173" s="14" t="n"/>
    </row>
    <row r="174">
      <c r="B174" s="7" t="inlineStr">
        <is>
          <t>Social Security Benefits — Taxable</t>
        </is>
      </c>
      <c r="C174" s="14" t="n"/>
    </row>
    <row r="175">
      <c r="B175" s="7" t="inlineStr">
        <is>
          <t>Unemployment Compensation</t>
        </is>
      </c>
      <c r="C175" s="14" t="n"/>
    </row>
    <row r="176">
      <c r="B176" s="7" t="inlineStr">
        <is>
          <t>Gambling Winnings</t>
        </is>
      </c>
      <c r="C176" s="14" t="n"/>
    </row>
    <row r="177">
      <c r="B177" s="7" t="inlineStr">
        <is>
          <t>Other Income (describe)</t>
        </is>
      </c>
      <c r="C177" s="14" t="n"/>
    </row>
    <row r="178">
      <c r="B178" s="7" t="inlineStr">
        <is>
          <t>Other Income Amount</t>
        </is>
      </c>
      <c r="C178" s="14" t="n"/>
    </row>
    <row r="179">
      <c r="B179" s="7" t="inlineStr">
        <is>
          <t>Farm Income/Loss (Schedule F)</t>
        </is>
      </c>
      <c r="C179" s="14" t="n"/>
    </row>
    <row r="180">
      <c r="B180" s="7" t="inlineStr">
        <is>
          <t>Rental Royalties/Partnerships/S-Corps (Sch E pg 2)</t>
        </is>
      </c>
      <c r="C180" s="14" t="n"/>
    </row>
    <row r="181">
      <c r="B181" s="7" t="inlineStr">
        <is>
          <t>Tip Income Not on W-2</t>
        </is>
      </c>
      <c r="C181" s="14" t="n"/>
    </row>
    <row r="183">
      <c r="B183" s="4" t="inlineStr">
        <is>
          <t>SECTION 12: ADJUSTMENTS TO INCOME (Schedule 1, Part II)</t>
        </is>
      </c>
      <c r="C183" s="5" t="n"/>
      <c r="D183" s="5" t="n"/>
      <c r="E183" s="5" t="n"/>
      <c r="F183" s="6" t="n"/>
    </row>
    <row r="184">
      <c r="B184" s="7" t="inlineStr">
        <is>
          <t>Educator Expenses (max $300)</t>
        </is>
      </c>
      <c r="C184" s="14" t="n"/>
    </row>
    <row r="185">
      <c r="B185" s="7" t="inlineStr">
        <is>
          <t>Business Expenses (reservists, etc.)</t>
        </is>
      </c>
      <c r="C185" s="14" t="n"/>
    </row>
    <row r="186">
      <c r="B186" s="7" t="inlineStr">
        <is>
          <t>HSA Deduction</t>
        </is>
      </c>
      <c r="C186" s="14" t="n"/>
    </row>
    <row r="187">
      <c r="B187" s="7" t="inlineStr">
        <is>
          <t>Moving Expenses (military only)</t>
        </is>
      </c>
      <c r="C187" s="14" t="n"/>
    </row>
    <row r="188">
      <c r="B188" s="7" t="inlineStr">
        <is>
          <t>Deductible Self-Employment Tax</t>
        </is>
      </c>
      <c r="C188" s="14" t="n"/>
    </row>
    <row r="189">
      <c r="B189" s="7" t="inlineStr">
        <is>
          <t>Self-Employed SEP/SIMPLE/Qualified Plans</t>
        </is>
      </c>
      <c r="C189" s="14" t="n"/>
    </row>
    <row r="190">
      <c r="B190" s="7" t="inlineStr">
        <is>
          <t>Self-Employed Health Insurance</t>
        </is>
      </c>
      <c r="C190" s="14" t="n"/>
    </row>
    <row r="191">
      <c r="B191" s="7" t="inlineStr">
        <is>
          <t>Penalty on Early Withdrawal of Savings</t>
        </is>
      </c>
      <c r="C191" s="14" t="n"/>
    </row>
    <row r="192">
      <c r="B192" s="7" t="inlineStr">
        <is>
          <t>IRA Deduction</t>
        </is>
      </c>
      <c r="C192" s="14" t="n"/>
    </row>
    <row r="193">
      <c r="B193" s="7" t="inlineStr">
        <is>
          <t>Student Loan Interest (max $2,500)</t>
        </is>
      </c>
      <c r="C193" s="14" t="n"/>
    </row>
    <row r="194">
      <c r="B194" s="7" t="inlineStr">
        <is>
          <t>Tuition and Fees</t>
        </is>
      </c>
      <c r="C194" s="14" t="n"/>
    </row>
    <row r="195">
      <c r="B195" s="7" t="inlineStr">
        <is>
          <t>Charitable Contributions (non-itemizer)</t>
        </is>
      </c>
      <c r="C195" s="14" t="n"/>
    </row>
    <row r="196">
      <c r="B196" s="7" t="inlineStr">
        <is>
          <t>Other Adjustments (describe)</t>
        </is>
      </c>
      <c r="C196" s="14" t="n"/>
    </row>
    <row r="197">
      <c r="B197" s="7" t="inlineStr">
        <is>
          <t>Other Adjustments Amount</t>
        </is>
      </c>
      <c r="C197" s="14" t="n"/>
    </row>
    <row r="199">
      <c r="B199" s="4" t="inlineStr">
        <is>
          <t>SECTION 13: ITEMIZED DEDUCTIONS (Schedule A)</t>
        </is>
      </c>
      <c r="C199" s="5" t="n"/>
      <c r="D199" s="5" t="n"/>
      <c r="E199" s="5" t="n"/>
      <c r="F199" s="6" t="n"/>
    </row>
    <row r="200">
      <c r="B200" s="7" t="inlineStr">
        <is>
          <t>Medical/Dental Expenses (total)</t>
        </is>
      </c>
      <c r="C200" s="14" t="n"/>
    </row>
    <row r="201">
      <c r="B201" s="7" t="inlineStr">
        <is>
          <t>State/Local Income Taxes Paid</t>
        </is>
      </c>
      <c r="C201" s="14" t="n"/>
    </row>
    <row r="202">
      <c r="B202" s="7" t="inlineStr">
        <is>
          <t>State/Local Sales Taxes Paid</t>
        </is>
      </c>
      <c r="C202" s="14" t="n"/>
    </row>
    <row r="203">
      <c r="B203" s="7" t="inlineStr">
        <is>
          <t>Real Estate Taxes Paid</t>
        </is>
      </c>
      <c r="C203" s="14" t="n"/>
    </row>
    <row r="204">
      <c r="B204" s="7" t="inlineStr">
        <is>
          <t>Personal Property Taxes</t>
        </is>
      </c>
      <c r="C204" s="14" t="n"/>
    </row>
    <row r="205">
      <c r="B205" s="7" t="inlineStr">
        <is>
          <t>Total SALT (auto-capped at $10,000)</t>
        </is>
      </c>
      <c r="C205" s="14" t="n"/>
    </row>
    <row r="206">
      <c r="B206" s="7" t="inlineStr">
        <is>
          <t>Home Mortgage Interest (Form 1098)</t>
        </is>
      </c>
      <c r="C206" s="14" t="n"/>
    </row>
    <row r="207">
      <c r="B207" s="7" t="inlineStr">
        <is>
          <t>Mortgage Insurance Premiums</t>
        </is>
      </c>
      <c r="C207" s="14" t="n"/>
    </row>
    <row r="208">
      <c r="B208" s="7" t="inlineStr">
        <is>
          <t>Investment Interest Expense</t>
        </is>
      </c>
      <c r="C208" s="14" t="n"/>
    </row>
    <row r="209">
      <c r="B209" s="7" t="inlineStr">
        <is>
          <t>Gifts to Charity — Cash</t>
        </is>
      </c>
      <c r="C209" s="14" t="n"/>
    </row>
    <row r="210">
      <c r="B210" s="7" t="inlineStr">
        <is>
          <t>Gifts to Charity — Noncash</t>
        </is>
      </c>
      <c r="C210" s="14" t="n"/>
    </row>
    <row r="211">
      <c r="B211" s="7" t="inlineStr">
        <is>
          <t>Carryover from Prior Year</t>
        </is>
      </c>
      <c r="C211" s="14" t="n"/>
    </row>
    <row r="212">
      <c r="B212" s="7" t="inlineStr">
        <is>
          <t>Casualty/Theft Losses (federally declared disaster)</t>
        </is>
      </c>
      <c r="C212" s="14" t="n"/>
    </row>
    <row r="213">
      <c r="B213" s="7" t="inlineStr">
        <is>
          <t>Gambling Losses (limited to winnings)</t>
        </is>
      </c>
      <c r="C213" s="14" t="n"/>
    </row>
    <row r="214">
      <c r="B214" s="7" t="inlineStr">
        <is>
          <t>Other Itemized Deductions</t>
        </is>
      </c>
      <c r="C214" s="14" t="n"/>
    </row>
    <row r="216">
      <c r="B216" s="4" t="inlineStr">
        <is>
          <t>SECTION 14: TAX CREDITS</t>
        </is>
      </c>
      <c r="C216" s="5" t="n"/>
      <c r="D216" s="5" t="n"/>
      <c r="E216" s="5" t="n"/>
      <c r="F216" s="6" t="n"/>
    </row>
    <row r="217">
      <c r="B217" s="7" t="inlineStr">
        <is>
          <t>Foreign Tax Credit (Form 1116)</t>
        </is>
      </c>
      <c r="C217" s="14" t="n"/>
    </row>
    <row r="218">
      <c r="B218" s="7" t="inlineStr">
        <is>
          <t>Child/Dependent Care Credit (Form 2441)</t>
        </is>
      </c>
      <c r="C218" s="14" t="n"/>
    </row>
    <row r="219">
      <c r="B219" s="7" t="inlineStr">
        <is>
          <t>Education Credits (Form 8863 — AOTC)</t>
        </is>
      </c>
      <c r="C219" s="14" t="n"/>
    </row>
    <row r="220">
      <c r="B220" s="7" t="inlineStr">
        <is>
          <t>Education Credits (Form 8863 — LLC)</t>
        </is>
      </c>
      <c r="C220" s="14" t="n"/>
    </row>
    <row r="221">
      <c r="B221" s="7" t="inlineStr">
        <is>
          <t>Retirement Savings Credit (Form 8880)</t>
        </is>
      </c>
      <c r="C221" s="14" t="n"/>
    </row>
    <row r="222">
      <c r="B222" s="7" t="inlineStr">
        <is>
          <t>Child Tax Credit (auto-calculated)</t>
        </is>
      </c>
      <c r="C222" s="14" t="n"/>
    </row>
    <row r="223">
      <c r="B223" s="7" t="inlineStr">
        <is>
          <t>Residential Energy Credit (Form 5695)</t>
        </is>
      </c>
      <c r="C223" s="14" t="n"/>
    </row>
    <row r="224">
      <c r="B224" s="7" t="inlineStr">
        <is>
          <t>EV Credit (Form 8936)</t>
        </is>
      </c>
      <c r="C224" s="14" t="n"/>
    </row>
    <row r="225">
      <c r="B225" s="7" t="inlineStr">
        <is>
          <t>Other Nonrefundable Credits</t>
        </is>
      </c>
      <c r="C225" s="14" t="n"/>
    </row>
    <row r="226">
      <c r="B226" s="7" t="inlineStr">
        <is>
          <t>Additional Child Tax Credit (Form 8812)</t>
        </is>
      </c>
      <c r="C226" s="14" t="n"/>
    </row>
    <row r="227">
      <c r="B227" s="7" t="inlineStr">
        <is>
          <t>American Opportunity Credit (refundable)</t>
        </is>
      </c>
      <c r="C227" s="14" t="n"/>
    </row>
    <row r="228">
      <c r="B228" s="7" t="inlineStr">
        <is>
          <t>Net Premium Tax Credit (Form 8962)</t>
        </is>
      </c>
      <c r="C228" s="14" t="n"/>
    </row>
    <row r="229">
      <c r="B229" s="7" t="inlineStr">
        <is>
          <t>Earned Income Credit</t>
        </is>
      </c>
      <c r="C229" s="14" t="n"/>
    </row>
    <row r="230">
      <c r="B230" s="7" t="inlineStr">
        <is>
          <t>Other Refundable Credits</t>
        </is>
      </c>
      <c r="C230" s="14" t="n"/>
    </row>
    <row r="232">
      <c r="B232" s="4" t="inlineStr">
        <is>
          <t>SECTION 15: TAX PAYMENTS &amp; WITHHOLDING</t>
        </is>
      </c>
      <c r="C232" s="5" t="n"/>
      <c r="D232" s="5" t="n"/>
      <c r="E232" s="5" t="n"/>
      <c r="F232" s="6" t="n"/>
    </row>
    <row r="233">
      <c r="B233" s="7" t="inlineStr">
        <is>
          <t>Federal Tax Withheld (total from W-2s, 1099s, etc.)</t>
        </is>
      </c>
      <c r="C233" s="14" t="n"/>
    </row>
    <row r="234">
      <c r="B234" s="7" t="inlineStr">
        <is>
          <t>Estimated Tax Payments (Q1)</t>
        </is>
      </c>
      <c r="C234" s="14" t="n"/>
    </row>
    <row r="235">
      <c r="B235" s="7" t="inlineStr">
        <is>
          <t>Estimated Tax Payments (Q2)</t>
        </is>
      </c>
      <c r="C235" s="14" t="n"/>
    </row>
    <row r="236">
      <c r="B236" s="7" t="inlineStr">
        <is>
          <t>Estimated Tax Payments (Q3)</t>
        </is>
      </c>
      <c r="C236" s="14" t="n"/>
    </row>
    <row r="237">
      <c r="B237" s="7" t="inlineStr">
        <is>
          <t>Estimated Tax Payments (Q4)</t>
        </is>
      </c>
      <c r="C237" s="14" t="n"/>
    </row>
    <row r="238">
      <c r="B238" s="7" t="inlineStr">
        <is>
          <t>Amount Applied from Prior Year Return</t>
        </is>
      </c>
      <c r="C238" s="14" t="n"/>
    </row>
    <row r="239">
      <c r="B239" s="7" t="inlineStr">
        <is>
          <t>Extension Payment (Form 4868)</t>
        </is>
      </c>
      <c r="C239" s="14" t="n"/>
    </row>
    <row r="240">
      <c r="B240" s="7" t="inlineStr">
        <is>
          <t>Excess Social Security Tax Withheld</t>
        </is>
      </c>
      <c r="C240" s="14" t="n"/>
    </row>
    <row r="241">
      <c r="B241" s="7" t="inlineStr">
        <is>
          <t>Other Payments/Credits</t>
        </is>
      </c>
      <c r="C241" s="14" t="n"/>
    </row>
    <row r="243">
      <c r="B243" s="4" t="inlineStr">
        <is>
          <t>SECTION 16: FOREIGN FINANCIAL ASSETS (FBAR / FATCA / Form 8938)</t>
        </is>
      </c>
      <c r="C243" s="5" t="n"/>
      <c r="D243" s="5" t="n"/>
      <c r="E243" s="5" t="n"/>
      <c r="F243" s="5" t="n"/>
      <c r="G243" s="5" t="n"/>
      <c r="H243" s="5" t="n"/>
      <c r="I243" s="6" t="n"/>
    </row>
    <row r="244">
      <c r="B244" s="7" t="inlineStr">
        <is>
          <t>Did you have a financial interest in or signature authority over foreign accounts? (Y/N)</t>
        </is>
      </c>
      <c r="C244" s="11" t="n"/>
    </row>
    <row r="245">
      <c r="B245" s="7" t="inlineStr">
        <is>
          <t>Maximum aggregate value of all foreign accounts during year</t>
        </is>
      </c>
      <c r="C245" s="14" t="n"/>
    </row>
    <row r="246">
      <c r="B246" s="7" t="inlineStr">
        <is>
          <t>Were any accounts in a foreign country? (Y/N)</t>
        </is>
      </c>
      <c r="C246" s="8" t="n"/>
    </row>
    <row r="248">
      <c r="B248" s="10" t="inlineStr">
        <is>
          <t>Foreign Account Details (for FBAR and Form 8938)</t>
        </is>
      </c>
      <c r="C248" s="5" t="n"/>
      <c r="D248" s="5" t="n"/>
      <c r="E248" s="5" t="n"/>
      <c r="F248" s="5" t="n"/>
      <c r="G248" s="5" t="n"/>
      <c r="H248" s="5" t="n"/>
      <c r="I248" s="6" t="n"/>
    </row>
    <row r="249">
      <c r="B249" s="13" t="inlineStr">
        <is>
          <t>Account Type</t>
        </is>
      </c>
      <c r="C249" s="13" t="inlineStr">
        <is>
          <t>Financial Institution</t>
        </is>
      </c>
      <c r="D249" s="13" t="inlineStr">
        <is>
          <t>Country</t>
        </is>
      </c>
      <c r="E249" s="13" t="inlineStr">
        <is>
          <t>Account Number</t>
        </is>
      </c>
      <c r="F249" s="13" t="inlineStr">
        <is>
          <t>Max Value During Year</t>
        </is>
      </c>
      <c r="G249" s="13" t="inlineStr">
        <is>
          <t>Year-End Value</t>
        </is>
      </c>
      <c r="H249" s="13" t="inlineStr">
        <is>
          <t>Income Earned</t>
        </is>
      </c>
      <c r="I249" s="13" t="inlineStr">
        <is>
          <t>Joint Account? (Y/N)</t>
        </is>
      </c>
    </row>
    <row r="250">
      <c r="B250" s="11" t="n"/>
      <c r="C250" s="11" t="n"/>
      <c r="D250" s="11" t="n"/>
      <c r="E250" s="11" t="n"/>
      <c r="F250" s="14" t="n"/>
      <c r="G250" s="14" t="n"/>
      <c r="H250" s="14" t="n"/>
      <c r="I250" s="11" t="n"/>
    </row>
    <row r="251">
      <c r="B251" s="11" t="n"/>
      <c r="C251" s="11" t="n"/>
      <c r="D251" s="11" t="n"/>
      <c r="E251" s="11" t="n"/>
      <c r="F251" s="14" t="n"/>
      <c r="G251" s="14" t="n"/>
      <c r="H251" s="14" t="n"/>
      <c r="I251" s="11" t="n"/>
    </row>
    <row r="252">
      <c r="B252" s="11" t="n"/>
      <c r="C252" s="11" t="n"/>
      <c r="D252" s="11" t="n"/>
      <c r="E252" s="11" t="n"/>
      <c r="F252" s="14" t="n"/>
      <c r="G252" s="14" t="n"/>
      <c r="H252" s="14" t="n"/>
      <c r="I252" s="11" t="n"/>
    </row>
    <row r="253">
      <c r="B253" s="11" t="n"/>
      <c r="C253" s="11" t="n"/>
      <c r="D253" s="11" t="n"/>
      <c r="E253" s="11" t="n"/>
      <c r="F253" s="14" t="n"/>
      <c r="G253" s="14" t="n"/>
      <c r="H253" s="14" t="n"/>
      <c r="I253" s="11" t="n"/>
    </row>
    <row r="254">
      <c r="B254" s="11" t="n"/>
      <c r="C254" s="11" t="n"/>
      <c r="D254" s="11" t="n"/>
      <c r="E254" s="11" t="n"/>
      <c r="F254" s="14" t="n"/>
      <c r="G254" s="14" t="n"/>
      <c r="H254" s="14" t="n"/>
      <c r="I254" s="11" t="n"/>
    </row>
    <row r="255">
      <c r="B255" s="11" t="n"/>
      <c r="C255" s="11" t="n"/>
      <c r="D255" s="11" t="n"/>
      <c r="E255" s="11" t="n"/>
      <c r="F255" s="14" t="n"/>
      <c r="G255" s="14" t="n"/>
      <c r="H255" s="14" t="n"/>
      <c r="I255" s="11" t="n"/>
    </row>
    <row r="256">
      <c r="B256" s="11" t="n"/>
      <c r="C256" s="11" t="n"/>
      <c r="D256" s="11" t="n"/>
      <c r="E256" s="11" t="n"/>
      <c r="F256" s="14" t="n"/>
      <c r="G256" s="14" t="n"/>
      <c r="H256" s="14" t="n"/>
      <c r="I256" s="11" t="n"/>
    </row>
    <row r="257">
      <c r="B257" s="11" t="n"/>
      <c r="C257" s="11" t="n"/>
      <c r="D257" s="11" t="n"/>
      <c r="E257" s="11" t="n"/>
      <c r="F257" s="14" t="n"/>
      <c r="G257" s="14" t="n"/>
      <c r="H257" s="14" t="n"/>
      <c r="I257" s="11" t="n"/>
    </row>
    <row r="258">
      <c r="B258" s="11" t="n"/>
      <c r="C258" s="11" t="n"/>
      <c r="D258" s="11" t="n"/>
      <c r="E258" s="11" t="n"/>
      <c r="F258" s="14" t="n"/>
      <c r="G258" s="14" t="n"/>
      <c r="H258" s="14" t="n"/>
      <c r="I258" s="11" t="n"/>
    </row>
    <row r="259">
      <c r="B259" s="11" t="n"/>
      <c r="C259" s="11" t="n"/>
      <c r="D259" s="11" t="n"/>
      <c r="E259" s="11" t="n"/>
      <c r="F259" s="14" t="n"/>
      <c r="G259" s="14" t="n"/>
      <c r="H259" s="14" t="n"/>
      <c r="I259" s="11" t="n"/>
    </row>
    <row r="260">
      <c r="B260" s="15" t="inlineStr">
        <is>
          <t>Total Max Value</t>
        </is>
      </c>
      <c r="F260" s="16">
        <f>SUM(F250:F259)</f>
        <v/>
      </c>
      <c r="G260" s="16">
        <f>SUM(G250:G259)</f>
        <v/>
      </c>
      <c r="H260" s="16">
        <f>SUM(H250:H259)</f>
        <v/>
      </c>
    </row>
    <row r="262">
      <c r="B262" s="4" t="inlineStr">
        <is>
          <t>SECTION 17: FOREIGN TRUSTS &amp; GIFTS (Form 3520)</t>
        </is>
      </c>
      <c r="C262" s="5" t="n"/>
      <c r="D262" s="5" t="n"/>
      <c r="E262" s="5" t="n"/>
      <c r="F262" s="5" t="n"/>
      <c r="G262" s="5" t="n"/>
      <c r="H262" s="6" t="n"/>
    </row>
    <row r="263">
      <c r="B263" s="7" t="inlineStr">
        <is>
          <t>Did you receive gifts from foreign persons &gt; $100,000? (Y/N)</t>
        </is>
      </c>
      <c r="C263" s="8" t="n"/>
    </row>
    <row r="264">
      <c r="B264" s="7" t="inlineStr">
        <is>
          <t>Total gifts from foreign individuals</t>
        </is>
      </c>
      <c r="C264" s="14" t="n"/>
    </row>
    <row r="265">
      <c r="B265" s="7" t="inlineStr">
        <is>
          <t>Total gifts from foreign corporations (&gt; $19,570)</t>
        </is>
      </c>
      <c r="C265" s="14" t="n"/>
    </row>
    <row r="266">
      <c r="B266" s="7" t="inlineStr">
        <is>
          <t>Foreign trust — Name of trust</t>
        </is>
      </c>
      <c r="C266" s="8" t="n"/>
    </row>
    <row r="267">
      <c r="B267" s="7" t="inlineStr">
        <is>
          <t>Foreign trust — Country</t>
        </is>
      </c>
      <c r="C267" s="8" t="n"/>
    </row>
    <row r="268">
      <c r="B268" s="7" t="inlineStr">
        <is>
          <t>Foreign trust — EIN/Reference ID</t>
        </is>
      </c>
      <c r="C268" s="8" t="n"/>
    </row>
    <row r="269">
      <c r="B269" s="7" t="inlineStr">
        <is>
          <t>Foreign trust — Distributions received</t>
        </is>
      </c>
      <c r="C269" s="14" t="n"/>
    </row>
    <row r="270">
      <c r="B270" s="7" t="inlineStr">
        <is>
          <t>Foreign trust — Transfers to trust</t>
        </is>
      </c>
      <c r="C270" s="14" t="n"/>
    </row>
    <row r="272">
      <c r="B272" s="4" t="inlineStr">
        <is>
          <t>SECTION 18: PASSIVE FOREIGN INVESTMENT COMPANIES (Form 8621)</t>
        </is>
      </c>
      <c r="C272" s="5" t="n"/>
      <c r="D272" s="5" t="n"/>
      <c r="E272" s="5" t="n"/>
      <c r="F272" s="5" t="n"/>
      <c r="G272" s="5" t="n"/>
      <c r="H272" s="5" t="n"/>
      <c r="I272" s="6" t="n"/>
    </row>
    <row r="273">
      <c r="B273" s="13" t="inlineStr">
        <is>
          <t>PFIC Name</t>
        </is>
      </c>
      <c r="C273" s="13" t="inlineStr">
        <is>
          <t>Country</t>
        </is>
      </c>
      <c r="D273" s="13" t="inlineStr">
        <is>
          <t>EIN/Ref ID</t>
        </is>
      </c>
      <c r="E273" s="13" t="inlineStr">
        <is>
          <t>Date Acquired</t>
        </is>
      </c>
      <c r="F273" s="13" t="inlineStr">
        <is>
          <t>Shares Held</t>
        </is>
      </c>
      <c r="G273" s="13" t="inlineStr">
        <is>
          <t>Fair Market Value (YE)</t>
        </is>
      </c>
      <c r="H273" s="13" t="inlineStr">
        <is>
          <t>QEF/MTM Election</t>
        </is>
      </c>
      <c r="I273" s="13" t="inlineStr">
        <is>
          <t>Distributions Received</t>
        </is>
      </c>
    </row>
    <row r="274">
      <c r="B274" s="11" t="n"/>
      <c r="C274" s="11" t="n"/>
      <c r="D274" s="11" t="n"/>
      <c r="E274" s="18" t="n"/>
      <c r="F274" s="11" t="n"/>
      <c r="G274" s="14" t="n"/>
      <c r="H274" s="11" t="n"/>
      <c r="I274" s="14" t="n"/>
    </row>
    <row r="275">
      <c r="B275" s="11" t="n"/>
      <c r="C275" s="11" t="n"/>
      <c r="D275" s="11" t="n"/>
      <c r="E275" s="18" t="n"/>
      <c r="F275" s="11" t="n"/>
      <c r="G275" s="14" t="n"/>
      <c r="H275" s="11" t="n"/>
      <c r="I275" s="14" t="n"/>
    </row>
    <row r="276">
      <c r="B276" s="11" t="n"/>
      <c r="C276" s="11" t="n"/>
      <c r="D276" s="11" t="n"/>
      <c r="E276" s="18" t="n"/>
      <c r="F276" s="11" t="n"/>
      <c r="G276" s="14" t="n"/>
      <c r="H276" s="11" t="n"/>
      <c r="I276" s="14" t="n"/>
    </row>
    <row r="277">
      <c r="B277" s="11" t="n"/>
      <c r="C277" s="11" t="n"/>
      <c r="D277" s="11" t="n"/>
      <c r="E277" s="18" t="n"/>
      <c r="F277" s="11" t="n"/>
      <c r="G277" s="14" t="n"/>
      <c r="H277" s="11" t="n"/>
      <c r="I277" s="14" t="n"/>
    </row>
    <row r="278">
      <c r="B278" s="11" t="n"/>
      <c r="C278" s="11" t="n"/>
      <c r="D278" s="11" t="n"/>
      <c r="E278" s="18" t="n"/>
      <c r="F278" s="11" t="n"/>
      <c r="G278" s="14" t="n"/>
      <c r="H278" s="11" t="n"/>
      <c r="I278" s="14" t="n"/>
    </row>
    <row r="280">
      <c r="B280" s="4" t="inlineStr">
        <is>
          <t>SECTION 19: PARTNERSHIP / S-CORP / TRUST K-1 INCOME</t>
        </is>
      </c>
      <c r="C280" s="5" t="n"/>
      <c r="D280" s="5" t="n"/>
      <c r="E280" s="5" t="n"/>
      <c r="F280" s="5" t="n"/>
      <c r="G280" s="5" t="n"/>
      <c r="H280" s="6" t="n"/>
    </row>
    <row r="281">
      <c r="B281" s="13" t="inlineStr">
        <is>
          <t>Entity Name</t>
        </is>
      </c>
      <c r="C281" s="13" t="inlineStr">
        <is>
          <t>EIN</t>
        </is>
      </c>
      <c r="D281" s="13" t="inlineStr">
        <is>
          <t>Type (P/S/T)</t>
        </is>
      </c>
      <c r="E281" s="13" t="inlineStr">
        <is>
          <t>Ordinary Income</t>
        </is>
      </c>
      <c r="F281" s="13" t="inlineStr">
        <is>
          <t>Rental Income</t>
        </is>
      </c>
      <c r="G281" s="13" t="inlineStr">
        <is>
          <t>Interest/Dividends</t>
        </is>
      </c>
      <c r="H281" s="13" t="inlineStr">
        <is>
          <t>Capital Gains</t>
        </is>
      </c>
    </row>
    <row r="282">
      <c r="B282" s="11" t="n"/>
      <c r="C282" s="11" t="n"/>
      <c r="D282" s="11" t="n"/>
      <c r="E282" s="14" t="n"/>
      <c r="F282" s="14" t="n"/>
      <c r="G282" s="14" t="n"/>
      <c r="H282" s="14" t="n"/>
    </row>
    <row r="283">
      <c r="B283" s="11" t="n"/>
      <c r="C283" s="11" t="n"/>
      <c r="D283" s="11" t="n"/>
      <c r="E283" s="14" t="n"/>
      <c r="F283" s="14" t="n"/>
      <c r="G283" s="14" t="n"/>
      <c r="H283" s="14" t="n"/>
    </row>
    <row r="284">
      <c r="B284" s="11" t="n"/>
      <c r="C284" s="11" t="n"/>
      <c r="D284" s="11" t="n"/>
      <c r="E284" s="14" t="n"/>
      <c r="F284" s="14" t="n"/>
      <c r="G284" s="14" t="n"/>
      <c r="H284" s="14" t="n"/>
    </row>
    <row r="285">
      <c r="B285" s="11" t="n"/>
      <c r="C285" s="11" t="n"/>
      <c r="D285" s="11" t="n"/>
      <c r="E285" s="14" t="n"/>
      <c r="F285" s="14" t="n"/>
      <c r="G285" s="14" t="n"/>
      <c r="H285" s="14" t="n"/>
    </row>
    <row r="286">
      <c r="B286" s="11" t="n"/>
      <c r="C286" s="11" t="n"/>
      <c r="D286" s="11" t="n"/>
      <c r="E286" s="14" t="n"/>
      <c r="F286" s="14" t="n"/>
      <c r="G286" s="14" t="n"/>
      <c r="H286" s="14" t="n"/>
    </row>
    <row r="288">
      <c r="B288" s="4" t="inlineStr">
        <is>
          <t>SECTION 20: RETIREMENT CONTRIBUTIONS &amp; HSA</t>
        </is>
      </c>
      <c r="C288" s="5" t="n"/>
      <c r="D288" s="5" t="n"/>
      <c r="E288" s="5" t="n"/>
      <c r="F288" s="6" t="n"/>
    </row>
    <row r="289">
      <c r="B289" s="7" t="inlineStr">
        <is>
          <t>Traditional IRA Contributions</t>
        </is>
      </c>
      <c r="C289" s="14" t="n"/>
    </row>
    <row r="290">
      <c r="B290" s="7" t="inlineStr">
        <is>
          <t>Roth IRA Contributions</t>
        </is>
      </c>
      <c r="C290" s="14" t="n"/>
    </row>
    <row r="291">
      <c r="B291" s="7" t="inlineStr">
        <is>
          <t>401(k) Employee Deferrals</t>
        </is>
      </c>
      <c r="C291" s="14" t="n"/>
    </row>
    <row r="292">
      <c r="B292" s="7" t="inlineStr">
        <is>
          <t>401(k) Employer Match</t>
        </is>
      </c>
      <c r="C292" s="14" t="n"/>
    </row>
    <row r="293">
      <c r="B293" s="7" t="inlineStr">
        <is>
          <t>SEP IRA Contributions</t>
        </is>
      </c>
      <c r="C293" s="14" t="n"/>
    </row>
    <row r="294">
      <c r="B294" s="7" t="inlineStr">
        <is>
          <t>SIMPLE IRA Contributions</t>
        </is>
      </c>
      <c r="C294" s="14" t="n"/>
    </row>
    <row r="295">
      <c r="B295" s="7" t="inlineStr">
        <is>
          <t>HSA Contributions (Self)</t>
        </is>
      </c>
      <c r="C295" s="14" t="n"/>
    </row>
    <row r="296">
      <c r="B296" s="7" t="inlineStr">
        <is>
          <t>HSA Contributions (Employer)</t>
        </is>
      </c>
      <c r="C296" s="14" t="n"/>
    </row>
    <row r="297">
      <c r="B297" s="7" t="inlineStr">
        <is>
          <t>HSA Coverage Type (Self/Family)</t>
        </is>
      </c>
      <c r="C297" s="8" t="n"/>
    </row>
    <row r="298">
      <c r="B298" s="7" t="inlineStr">
        <is>
          <t>HSA Distributions — Total</t>
        </is>
      </c>
      <c r="C298" s="14" t="n"/>
    </row>
    <row r="299">
      <c r="B299" s="7" t="inlineStr">
        <is>
          <t>HSA Distributions — Qualified Medical</t>
        </is>
      </c>
      <c r="C299" s="14" t="n"/>
    </row>
    <row r="301">
      <c r="B301" s="4" t="inlineStr">
        <is>
          <t>SECTION 21: ADDITIONAL INFORMATION</t>
        </is>
      </c>
      <c r="C301" s="5" t="n"/>
      <c r="D301" s="5" t="n"/>
      <c r="E301" s="5" t="n"/>
      <c r="F301" s="6" t="n"/>
    </row>
    <row r="302">
      <c r="B302" s="7" t="inlineStr">
        <is>
          <t>Bank Routing Number (for direct deposit)</t>
        </is>
      </c>
      <c r="C302" s="8" t="n"/>
    </row>
    <row r="303">
      <c r="B303" s="7" t="inlineStr">
        <is>
          <t>Bank Account Number</t>
        </is>
      </c>
      <c r="C303" s="8" t="n"/>
    </row>
    <row r="304">
      <c r="B304" s="7" t="inlineStr">
        <is>
          <t>Account Type (Checking/Savings)</t>
        </is>
      </c>
      <c r="C304" s="8" t="n"/>
    </row>
    <row r="305">
      <c r="B305" s="7" t="inlineStr">
        <is>
          <t>Third Party Designee Name</t>
        </is>
      </c>
      <c r="C305" s="8" t="n"/>
    </row>
    <row r="306">
      <c r="B306" s="7" t="inlineStr">
        <is>
          <t>Third Party Designee Phone</t>
        </is>
      </c>
      <c r="C306" s="8" t="n"/>
    </row>
    <row r="307">
      <c r="B307" s="7" t="inlineStr">
        <is>
          <t>Third Party Designee PIN</t>
        </is>
      </c>
      <c r="C307" s="8" t="n"/>
    </row>
    <row r="308">
      <c r="B308" s="7" t="inlineStr">
        <is>
          <t>Preparer Name</t>
        </is>
      </c>
      <c r="C308" s="8" t="n"/>
    </row>
    <row r="309">
      <c r="B309" s="7" t="inlineStr">
        <is>
          <t>Preparer PTIN</t>
        </is>
      </c>
      <c r="C309" s="8" t="n"/>
    </row>
    <row r="310">
      <c r="B310" s="7" t="inlineStr">
        <is>
          <t>Preparer Firm Name</t>
        </is>
      </c>
      <c r="C310" s="8" t="n"/>
    </row>
    <row r="311">
      <c r="B311" s="7" t="inlineStr">
        <is>
          <t>Preparer Firm EIN</t>
        </is>
      </c>
      <c r="C311" s="8" t="n"/>
    </row>
    <row r="312">
      <c r="B312" s="7" t="inlineStr">
        <is>
          <t>Preparer Firm Address</t>
        </is>
      </c>
      <c r="C312" s="8" t="n"/>
    </row>
  </sheetData>
  <mergeCells count="27">
    <mergeCell ref="D13:F13"/>
    <mergeCell ref="B143:H143"/>
    <mergeCell ref="B232:F232"/>
    <mergeCell ref="B199:F199"/>
    <mergeCell ref="B301:F301"/>
    <mergeCell ref="B27:F27"/>
    <mergeCell ref="B12:F12"/>
    <mergeCell ref="B248:I248"/>
    <mergeCell ref="B2:F2"/>
    <mergeCell ref="B272:I272"/>
    <mergeCell ref="B280:H280"/>
    <mergeCell ref="B1:F1"/>
    <mergeCell ref="B72:H72"/>
    <mergeCell ref="B13:C13"/>
    <mergeCell ref="B166:F166"/>
    <mergeCell ref="B243:I243"/>
    <mergeCell ref="B37:I37"/>
    <mergeCell ref="B244"/>
    <mergeCell ref="B262:H262"/>
    <mergeCell ref="B288:F288"/>
    <mergeCell ref="B183:F183"/>
    <mergeCell ref="B59:G59"/>
    <mergeCell ref="B5:F5"/>
    <mergeCell ref="B216:F216"/>
    <mergeCell ref="B85:I85"/>
    <mergeCell ref="B110:F110"/>
    <mergeCell ref="B50:I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/>
  </sheetPr>
  <dimension ref="B1:C3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5" customWidth="1" min="4" max="4"/>
    <col width="20" customWidth="1" min="5" max="5"/>
  </cols>
  <sheetData>
    <row r="1">
      <c r="B1" s="19" t="inlineStr">
        <is>
          <t>TAX RETURN SUMMARY DASHBOARD</t>
        </is>
      </c>
    </row>
    <row r="2">
      <c r="B2" s="3" t="inlineStr">
        <is>
          <t>Tax Year 2025 — All amounts auto-calculated</t>
        </is>
      </c>
    </row>
    <row r="4">
      <c r="B4" s="4" t="inlineStr">
        <is>
          <t>TAXPAYER INFORMATION</t>
        </is>
      </c>
      <c r="C4" s="6" t="n"/>
    </row>
    <row r="5">
      <c r="B5" s="7" t="inlineStr">
        <is>
          <t>Name</t>
        </is>
      </c>
      <c r="C5" s="20">
        <f>Intake!C13&amp;" "&amp;Intake!C15</f>
        <v/>
      </c>
    </row>
    <row r="6">
      <c r="B6" s="7" t="inlineStr">
        <is>
          <t>Filing Status</t>
        </is>
      </c>
      <c r="C6" s="20">
        <f>IF(Intake!C6=1,"Single",IF(Intake!C6=2,"Married Filing Jointly",IF(Intake!C6=3,"Married Filing Separately",IF(Intake!C6=4,"Head of Household","Qualifying Surviving Spouse"))))</f>
        <v/>
      </c>
    </row>
    <row r="8">
      <c r="B8" s="4" t="inlineStr">
        <is>
          <t>INCOME SUMMARY</t>
        </is>
      </c>
      <c r="C8" s="6" t="n"/>
    </row>
    <row r="9">
      <c r="B9" s="7" t="inlineStr">
        <is>
          <t>Wages &amp; Salaries</t>
        </is>
      </c>
      <c r="C9" s="21">
        <f>'Form 1040'!D8</f>
        <v/>
      </c>
    </row>
    <row r="10">
      <c r="B10" s="7" t="inlineStr">
        <is>
          <t>Taxable Interest</t>
        </is>
      </c>
      <c r="C10" s="21">
        <f>'Form 1040'!D10</f>
        <v/>
      </c>
    </row>
    <row r="11">
      <c r="B11" s="7" t="inlineStr">
        <is>
          <t>Ordinary Dividends</t>
        </is>
      </c>
      <c r="C11" s="21">
        <f>'Form 1040'!D12</f>
        <v/>
      </c>
    </row>
    <row r="12">
      <c r="B12" s="7" t="inlineStr">
        <is>
          <t>Capital Gains/(Losses)</t>
        </is>
      </c>
      <c r="C12" s="21">
        <f>'Form 1040'!D19</f>
        <v/>
      </c>
    </row>
    <row r="13">
      <c r="B13" s="7" t="inlineStr">
        <is>
          <t>Business Income (Sch C)</t>
        </is>
      </c>
      <c r="C13" s="21">
        <f>'Schedule C'!D45</f>
        <v/>
      </c>
    </row>
    <row r="14">
      <c r="B14" s="7" t="inlineStr">
        <is>
          <t>Rental Income (Sch E)</t>
        </is>
      </c>
      <c r="C14" s="21">
        <f>'Schedule E'!D50</f>
        <v/>
      </c>
    </row>
    <row r="15">
      <c r="B15" s="7" t="inlineStr">
        <is>
          <t>Other Income (Sch 1)</t>
        </is>
      </c>
      <c r="C15" s="21">
        <f>'Form 1040'!D20</f>
        <v/>
      </c>
    </row>
    <row r="16">
      <c r="B16" s="22" t="inlineStr">
        <is>
          <t>TOTAL INCOME</t>
        </is>
      </c>
      <c r="C16" s="16">
        <f>'Form 1040'!D21</f>
        <v/>
      </c>
    </row>
    <row r="18">
      <c r="B18" s="4" t="inlineStr">
        <is>
          <t>TAX COMPUTATION SUMMARY</t>
        </is>
      </c>
      <c r="C18" s="6" t="n"/>
    </row>
    <row r="19">
      <c r="B19" s="7" t="inlineStr">
        <is>
          <t>Adjusted Gross Income</t>
        </is>
      </c>
      <c r="C19" s="23">
        <f>'Form 1040'!D25</f>
        <v/>
      </c>
    </row>
    <row r="20">
      <c r="B20" s="7" t="inlineStr">
        <is>
          <t>Deductions</t>
        </is>
      </c>
      <c r="C20" s="23">
        <f>'Form 1040'!D30</f>
        <v/>
      </c>
    </row>
    <row r="21">
      <c r="B21" s="7" t="inlineStr">
        <is>
          <t>Taxable Income</t>
        </is>
      </c>
      <c r="C21" s="23">
        <f>'Form 1040'!D31</f>
        <v/>
      </c>
    </row>
    <row r="22">
      <c r="B22" s="7" t="inlineStr">
        <is>
          <t>Income Tax</t>
        </is>
      </c>
      <c r="C22" s="23">
        <f>'Form 1040'!D34</f>
        <v/>
      </c>
    </row>
    <row r="23">
      <c r="B23" s="7" t="inlineStr">
        <is>
          <t>Self-Employment Tax</t>
        </is>
      </c>
      <c r="C23" s="23">
        <f>'Schedule SE'!D18</f>
        <v/>
      </c>
    </row>
    <row r="24">
      <c r="B24" s="24" t="inlineStr">
        <is>
          <t>Total Tax</t>
        </is>
      </c>
      <c r="C24" s="25">
        <f>'Form 1040'!D40</f>
        <v/>
      </c>
    </row>
    <row r="25">
      <c r="B25" s="24" t="inlineStr">
        <is>
          <t>Total Payments</t>
        </is>
      </c>
      <c r="C25" s="25">
        <f>'Form 1040'!D53</f>
        <v/>
      </c>
    </row>
    <row r="26">
      <c r="B26" s="22" t="inlineStr">
        <is>
          <t>REFUND</t>
        </is>
      </c>
      <c r="C26" s="26">
        <f>'Form 1040'!D56</f>
        <v/>
      </c>
    </row>
    <row r="27">
      <c r="B27" s="22" t="inlineStr">
        <is>
          <t>AMOUNT OWED</t>
        </is>
      </c>
      <c r="C27" s="27">
        <f>'Form 1040'!D58</f>
        <v/>
      </c>
    </row>
    <row r="29">
      <c r="B29" s="4" t="inlineStr">
        <is>
          <t>FOREIGN REPORTING REQUIREMENTS</t>
        </is>
      </c>
      <c r="C29" s="6" t="n"/>
    </row>
    <row r="30">
      <c r="B30" s="7" t="inlineStr">
        <is>
          <t>FBAR Required?</t>
        </is>
      </c>
      <c r="C30" s="28">
        <f>IF(Intake!F247&gt;10000,"YES","NO")</f>
        <v/>
      </c>
    </row>
    <row r="31">
      <c r="B31" s="7" t="inlineStr">
        <is>
          <t>Form 8938 (FATCA) Required?</t>
        </is>
      </c>
      <c r="C31" s="28">
        <f>'Form 8938'!D10</f>
        <v/>
      </c>
    </row>
    <row r="32">
      <c r="B32" s="7" t="inlineStr">
        <is>
          <t>Form 3520 Required?</t>
        </is>
      </c>
      <c r="C32" s="28">
        <f>IF(OR('Form 3520'!D5&gt;100000,'Form 3520'!D6&gt;19570),"YES","NO")</f>
        <v/>
      </c>
    </row>
    <row r="33">
      <c r="B33" s="7" t="inlineStr">
        <is>
          <t>Form 8621 (PFIC) Required?</t>
        </is>
      </c>
      <c r="C33" s="28">
        <f>IF(COUNTA(Intake!B274:B278)&gt;0,"YES","NO")</f>
        <v/>
      </c>
    </row>
  </sheetData>
  <mergeCells count="4">
    <mergeCell ref="B18:C18"/>
    <mergeCell ref="B8:C8"/>
    <mergeCell ref="B4:C4"/>
    <mergeCell ref="B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B1:G71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B1" s="19" t="inlineStr">
        <is>
          <t>2025 Federal Tax Tables &amp; Key Thresholds</t>
        </is>
      </c>
    </row>
    <row r="3">
      <c r="B3" s="4" t="inlineStr">
        <is>
          <t>ORDINARY INCOME TAX BRACKETS — TAX YEAR 2025</t>
        </is>
      </c>
      <c r="C3" s="5" t="n"/>
      <c r="D3" s="5" t="n"/>
      <c r="E3" s="5" t="n"/>
      <c r="F3" s="5" t="n"/>
      <c r="G3" s="6" t="n"/>
    </row>
    <row r="4">
      <c r="B4" s="29" t="inlineStr">
        <is>
          <t>Rate</t>
        </is>
      </c>
      <c r="C4" s="29" t="inlineStr">
        <is>
          <t>Single</t>
        </is>
      </c>
      <c r="D4" s="29" t="inlineStr">
        <is>
          <t>MFJ</t>
        </is>
      </c>
      <c r="E4" s="29" t="inlineStr">
        <is>
          <t>MFS</t>
        </is>
      </c>
      <c r="F4" s="29" t="inlineStr">
        <is>
          <t>HOH</t>
        </is>
      </c>
    </row>
    <row r="5">
      <c r="B5" s="30" t="inlineStr">
        <is>
          <t>10%</t>
        </is>
      </c>
      <c r="C5" s="31" t="inlineStr">
        <is>
          <t>$0 – $11,925</t>
        </is>
      </c>
      <c r="D5" s="31" t="inlineStr">
        <is>
          <t>$0 – $23,850</t>
        </is>
      </c>
      <c r="E5" s="31" t="inlineStr">
        <is>
          <t>$0 – $11,925</t>
        </is>
      </c>
      <c r="F5" s="31" t="inlineStr">
        <is>
          <t>$0 – $17,000</t>
        </is>
      </c>
    </row>
    <row r="6">
      <c r="B6" s="30" t="inlineStr">
        <is>
          <t>12%</t>
        </is>
      </c>
      <c r="C6" s="31" t="inlineStr">
        <is>
          <t>$11,925 – $48,475</t>
        </is>
      </c>
      <c r="D6" s="31" t="inlineStr">
        <is>
          <t>$23,850 – $96,950</t>
        </is>
      </c>
      <c r="E6" s="31" t="inlineStr">
        <is>
          <t>$11,925 – $48,475</t>
        </is>
      </c>
      <c r="F6" s="31" t="inlineStr">
        <is>
          <t>$17,000 – $64,850</t>
        </is>
      </c>
    </row>
    <row r="7">
      <c r="B7" s="30" t="inlineStr">
        <is>
          <t>22%</t>
        </is>
      </c>
      <c r="C7" s="31" t="inlineStr">
        <is>
          <t>$48,475 – $103,350</t>
        </is>
      </c>
      <c r="D7" s="31" t="inlineStr">
        <is>
          <t>$96,950 – $206,700</t>
        </is>
      </c>
      <c r="E7" s="31" t="inlineStr">
        <is>
          <t>$48,475 – $103,350</t>
        </is>
      </c>
      <c r="F7" s="31" t="inlineStr">
        <is>
          <t>$64,850 – $103,350</t>
        </is>
      </c>
    </row>
    <row r="8">
      <c r="B8" s="30" t="inlineStr">
        <is>
          <t>24%</t>
        </is>
      </c>
      <c r="C8" s="31" t="inlineStr">
        <is>
          <t>$103,350 – $197,300</t>
        </is>
      </c>
      <c r="D8" s="31" t="inlineStr">
        <is>
          <t>$206,700 – $394,600</t>
        </is>
      </c>
      <c r="E8" s="31" t="inlineStr">
        <is>
          <t>$103,350 – $197,300</t>
        </is>
      </c>
      <c r="F8" s="31" t="inlineStr">
        <is>
          <t>$103,350 – $197,300</t>
        </is>
      </c>
    </row>
    <row r="9">
      <c r="B9" s="30" t="inlineStr">
        <is>
          <t>32%</t>
        </is>
      </c>
      <c r="C9" s="31" t="inlineStr">
        <is>
          <t>$197,300 – $250,525</t>
        </is>
      </c>
      <c r="D9" s="31" t="inlineStr">
        <is>
          <t>$394,600 – $501,050</t>
        </is>
      </c>
      <c r="E9" s="31" t="inlineStr">
        <is>
          <t>$197,300 – $250,525</t>
        </is>
      </c>
      <c r="F9" s="31" t="inlineStr">
        <is>
          <t>$197,300 – $250,500</t>
        </is>
      </c>
    </row>
    <row r="10">
      <c r="B10" s="30" t="inlineStr">
        <is>
          <t>35%</t>
        </is>
      </c>
      <c r="C10" s="31" t="inlineStr">
        <is>
          <t>$250,525 – $626,350</t>
        </is>
      </c>
      <c r="D10" s="31" t="inlineStr">
        <is>
          <t>$501,050 – $751,600</t>
        </is>
      </c>
      <c r="E10" s="31" t="inlineStr">
        <is>
          <t>$250,525 – $626,350</t>
        </is>
      </c>
      <c r="F10" s="31" t="inlineStr">
        <is>
          <t>$250,500 – $626,350</t>
        </is>
      </c>
    </row>
    <row r="11">
      <c r="B11" s="30" t="inlineStr">
        <is>
          <t>37%</t>
        </is>
      </c>
      <c r="C11" s="31" t="inlineStr">
        <is>
          <t>Over $626,350</t>
        </is>
      </c>
      <c r="D11" s="31" t="inlineStr">
        <is>
          <t>Over $751,600</t>
        </is>
      </c>
      <c r="E11" s="31" t="inlineStr">
        <is>
          <t>Over $626,350</t>
        </is>
      </c>
      <c r="F11" s="31" t="inlineStr">
        <is>
          <t>Over $626,350</t>
        </is>
      </c>
    </row>
    <row r="13">
      <c r="B13" s="4" t="inlineStr">
        <is>
          <t>BRACKET THRESHOLDS (Numeric — Used by Formulas)</t>
        </is>
      </c>
      <c r="C13" s="5" t="n"/>
      <c r="D13" s="5" t="n"/>
      <c r="E13" s="5" t="n"/>
      <c r="F13" s="5" t="n"/>
      <c r="G13" s="6" t="n"/>
    </row>
    <row r="14">
      <c r="B14" s="29" t="inlineStr">
        <is>
          <t>Rate</t>
        </is>
      </c>
      <c r="C14" s="29" t="inlineStr">
        <is>
          <t>Single Lower</t>
        </is>
      </c>
      <c r="D14" s="29" t="inlineStr">
        <is>
          <t>Single Upper</t>
        </is>
      </c>
      <c r="E14" s="29" t="inlineStr">
        <is>
          <t>MFJ Lower</t>
        </is>
      </c>
      <c r="F14" s="29" t="inlineStr">
        <is>
          <t>MFJ Upper</t>
        </is>
      </c>
      <c r="G14" s="29" t="inlineStr">
        <is>
          <t>HOH Lower</t>
        </is>
      </c>
    </row>
    <row r="15">
      <c r="B15" s="32" t="n">
        <v>0.1</v>
      </c>
      <c r="C15" s="33" t="n">
        <v>0</v>
      </c>
      <c r="D15" s="33" t="n">
        <v>11925</v>
      </c>
      <c r="E15" s="33" t="n">
        <v>0</v>
      </c>
      <c r="F15" s="33" t="n">
        <v>23850</v>
      </c>
      <c r="G15" s="33" t="n">
        <v>0</v>
      </c>
    </row>
    <row r="16">
      <c r="B16" s="32" t="n">
        <v>0.12</v>
      </c>
      <c r="C16" s="33" t="n">
        <v>11925</v>
      </c>
      <c r="D16" s="33" t="n">
        <v>48475</v>
      </c>
      <c r="E16" s="33" t="n">
        <v>23850</v>
      </c>
      <c r="F16" s="33" t="n">
        <v>96950</v>
      </c>
      <c r="G16" s="33" t="n">
        <v>17000</v>
      </c>
    </row>
    <row r="17">
      <c r="B17" s="32" t="n">
        <v>0.22</v>
      </c>
      <c r="C17" s="33" t="n">
        <v>48475</v>
      </c>
      <c r="D17" s="33" t="n">
        <v>103350</v>
      </c>
      <c r="E17" s="33" t="n">
        <v>96950</v>
      </c>
      <c r="F17" s="33" t="n">
        <v>206700</v>
      </c>
      <c r="G17" s="33" t="n">
        <v>64850</v>
      </c>
    </row>
    <row r="18">
      <c r="B18" s="32" t="n">
        <v>0.24</v>
      </c>
      <c r="C18" s="33" t="n">
        <v>103350</v>
      </c>
      <c r="D18" s="33" t="n">
        <v>197300</v>
      </c>
      <c r="E18" s="33" t="n">
        <v>206700</v>
      </c>
      <c r="F18" s="33" t="n">
        <v>394600</v>
      </c>
      <c r="G18" s="33" t="n">
        <v>103350</v>
      </c>
    </row>
    <row r="19">
      <c r="B19" s="32" t="n">
        <v>0.32</v>
      </c>
      <c r="C19" s="33" t="n">
        <v>197300</v>
      </c>
      <c r="D19" s="33" t="n">
        <v>250525</v>
      </c>
      <c r="E19" s="33" t="n">
        <v>394600</v>
      </c>
      <c r="F19" s="33" t="n">
        <v>501050</v>
      </c>
      <c r="G19" s="33" t="n">
        <v>197300</v>
      </c>
    </row>
    <row r="20">
      <c r="B20" s="32" t="n">
        <v>0.35</v>
      </c>
      <c r="C20" s="33" t="n">
        <v>250525</v>
      </c>
      <c r="D20" s="33" t="n">
        <v>626350</v>
      </c>
      <c r="E20" s="33" t="n">
        <v>501050</v>
      </c>
      <c r="F20" s="33" t="n">
        <v>751600</v>
      </c>
      <c r="G20" s="33" t="n">
        <v>250500</v>
      </c>
    </row>
    <row r="21">
      <c r="B21" s="32" t="n">
        <v>0.37</v>
      </c>
      <c r="C21" s="33" t="n">
        <v>626350</v>
      </c>
      <c r="D21" s="33" t="n">
        <v>9999999</v>
      </c>
      <c r="E21" s="33" t="n">
        <v>751600</v>
      </c>
      <c r="F21" s="33" t="n">
        <v>9999999</v>
      </c>
      <c r="G21" s="33" t="n">
        <v>626350</v>
      </c>
    </row>
    <row r="23">
      <c r="B23" s="4" t="inlineStr">
        <is>
          <t>STANDARD DEDUCTIONS</t>
        </is>
      </c>
      <c r="C23" s="5" t="n"/>
      <c r="D23" s="6" t="n"/>
    </row>
    <row r="24">
      <c r="B24" s="7" t="inlineStr">
        <is>
          <t>Single</t>
        </is>
      </c>
      <c r="C24" s="33" t="n">
        <v>15750</v>
      </c>
    </row>
    <row r="25">
      <c r="B25" s="7" t="inlineStr">
        <is>
          <t>Married Filing Jointly</t>
        </is>
      </c>
      <c r="C25" s="33" t="n">
        <v>31500</v>
      </c>
    </row>
    <row r="26">
      <c r="B26" s="7" t="inlineStr">
        <is>
          <t>Married Filing Separately</t>
        </is>
      </c>
      <c r="C26" s="33" t="n">
        <v>15750</v>
      </c>
    </row>
    <row r="27">
      <c r="B27" s="7" t="inlineStr">
        <is>
          <t>Head of Household</t>
        </is>
      </c>
      <c r="C27" s="33" t="n">
        <v>23625</v>
      </c>
    </row>
    <row r="28">
      <c r="B28" s="7" t="inlineStr">
        <is>
          <t>Qualifying Surviving Spouse</t>
        </is>
      </c>
      <c r="C28" s="33" t="n">
        <v>31500</v>
      </c>
    </row>
    <row r="29">
      <c r="B29" s="7" t="inlineStr">
        <is>
          <t>Additional — Age 65+ or Blind (Single/HOH)</t>
        </is>
      </c>
      <c r="C29" s="33" t="n">
        <v>2000</v>
      </c>
    </row>
    <row r="30">
      <c r="B30" s="7" t="inlineStr">
        <is>
          <t>Additional — Age 65+ or Blind (MFJ/MFS, per person)</t>
        </is>
      </c>
      <c r="C30" s="33" t="n">
        <v>1600</v>
      </c>
    </row>
    <row r="32">
      <c r="B32" s="4" t="inlineStr">
        <is>
          <t>LONG-TERM CAPITAL GAINS RATES</t>
        </is>
      </c>
      <c r="C32" s="5" t="n"/>
      <c r="D32" s="5" t="n"/>
      <c r="E32" s="6" t="n"/>
    </row>
    <row r="33">
      <c r="B33" s="29" t="inlineStr">
        <is>
          <t>Rate</t>
        </is>
      </c>
      <c r="C33" s="29" t="inlineStr">
        <is>
          <t>Single</t>
        </is>
      </c>
      <c r="D33" s="29" t="inlineStr">
        <is>
          <t>MFJ</t>
        </is>
      </c>
      <c r="E33" s="29" t="inlineStr">
        <is>
          <t>HOH</t>
        </is>
      </c>
    </row>
    <row r="34">
      <c r="B34" s="30" t="inlineStr">
        <is>
          <t>0%</t>
        </is>
      </c>
      <c r="C34" s="31" t="inlineStr">
        <is>
          <t>$0 – $48,350</t>
        </is>
      </c>
      <c r="D34" s="31" t="inlineStr">
        <is>
          <t>$0 – $96,700</t>
        </is>
      </c>
      <c r="E34" s="31" t="inlineStr">
        <is>
          <t>$0 – $64,750</t>
        </is>
      </c>
    </row>
    <row r="35">
      <c r="B35" s="30" t="inlineStr">
        <is>
          <t>15%</t>
        </is>
      </c>
      <c r="C35" s="31" t="inlineStr">
        <is>
          <t>$48,350 – $533,400</t>
        </is>
      </c>
      <c r="D35" s="31" t="inlineStr">
        <is>
          <t>$96,700 – $600,050</t>
        </is>
      </c>
      <c r="E35" s="31" t="inlineStr">
        <is>
          <t>$64,750 – $566,700</t>
        </is>
      </c>
    </row>
    <row r="36">
      <c r="B36" s="30" t="inlineStr">
        <is>
          <t>20%</t>
        </is>
      </c>
      <c r="C36" s="31" t="inlineStr">
        <is>
          <t>Over $533,400</t>
        </is>
      </c>
      <c r="D36" s="31" t="inlineStr">
        <is>
          <t>Over $600,050</t>
        </is>
      </c>
      <c r="E36" s="31" t="inlineStr">
        <is>
          <t>Over $566,700</t>
        </is>
      </c>
    </row>
    <row r="38">
      <c r="B38" s="4" t="inlineStr">
        <is>
          <t>KEY THRESHOLDS &amp; LIMITS</t>
        </is>
      </c>
      <c r="C38" s="5" t="n"/>
      <c r="D38" s="6" t="n"/>
    </row>
    <row r="39">
      <c r="B39" s="7" t="inlineStr">
        <is>
          <t>Social Security Wage Base</t>
        </is>
      </c>
      <c r="C39" s="33" t="n">
        <v>176100</v>
      </c>
    </row>
    <row r="40">
      <c r="B40" s="7" t="inlineStr">
        <is>
          <t>SE Tax Rate — Social Security (12.4%)</t>
        </is>
      </c>
      <c r="C40" s="34" t="n">
        <v>0.124</v>
      </c>
    </row>
    <row r="41">
      <c r="B41" s="7" t="inlineStr">
        <is>
          <t>SE Tax Rate — Medicare (2.9%)</t>
        </is>
      </c>
      <c r="C41" s="34" t="n">
        <v>0.029</v>
      </c>
    </row>
    <row r="42">
      <c r="B42" s="7" t="inlineStr">
        <is>
          <t>Additional Medicare Tax Threshold (Single)</t>
        </is>
      </c>
      <c r="C42" s="33" t="n">
        <v>200000</v>
      </c>
    </row>
    <row r="43">
      <c r="B43" s="7" t="inlineStr">
        <is>
          <t>Additional Medicare Tax Threshold (MFJ)</t>
        </is>
      </c>
      <c r="C43" s="33" t="n">
        <v>250000</v>
      </c>
    </row>
    <row r="44">
      <c r="B44" s="7" t="inlineStr">
        <is>
          <t>Additional Medicare Tax Rate</t>
        </is>
      </c>
      <c r="C44" s="34" t="n">
        <v>0.008999999999999999</v>
      </c>
    </row>
    <row r="45">
      <c r="B45" s="7" t="inlineStr">
        <is>
          <t>Net Investment Income Tax Threshold (Single)</t>
        </is>
      </c>
      <c r="C45" s="33" t="n">
        <v>200000</v>
      </c>
    </row>
    <row r="46">
      <c r="B46" s="7" t="inlineStr">
        <is>
          <t>Net Investment Income Tax Threshold (MFJ)</t>
        </is>
      </c>
      <c r="C46" s="33" t="n">
        <v>250000</v>
      </c>
    </row>
    <row r="47">
      <c r="B47" s="7" t="inlineStr">
        <is>
          <t>NIIT Rate</t>
        </is>
      </c>
      <c r="C47" s="34" t="n">
        <v>0.038</v>
      </c>
    </row>
    <row r="48">
      <c r="B48" s="7" t="inlineStr">
        <is>
          <t>AMT Exemption — Single</t>
        </is>
      </c>
      <c r="C48" s="33" t="n">
        <v>88100</v>
      </c>
    </row>
    <row r="49">
      <c r="B49" s="7" t="inlineStr">
        <is>
          <t>AMT Exemption — MFJ</t>
        </is>
      </c>
      <c r="C49" s="33" t="n">
        <v>137000</v>
      </c>
    </row>
    <row r="50">
      <c r="B50" s="7" t="inlineStr">
        <is>
          <t>AMT 28% Threshold</t>
        </is>
      </c>
      <c r="C50" s="33" t="n">
        <v>239100</v>
      </c>
    </row>
    <row r="51">
      <c r="B51" s="7" t="inlineStr">
        <is>
          <t>AMT Phaseout — Single</t>
        </is>
      </c>
      <c r="C51" s="33" t="n">
        <v>626350</v>
      </c>
    </row>
    <row r="52">
      <c r="B52" s="7" t="inlineStr">
        <is>
          <t>AMT Phaseout — MFJ</t>
        </is>
      </c>
      <c r="C52" s="33" t="n">
        <v>1252700</v>
      </c>
    </row>
    <row r="53">
      <c r="B53" s="7" t="inlineStr">
        <is>
          <t>Child Tax Credit (per qualifying child)</t>
        </is>
      </c>
      <c r="C53" s="33" t="n">
        <v>2200</v>
      </c>
    </row>
    <row r="54">
      <c r="B54" s="7" t="inlineStr">
        <is>
          <t>Child Tax Credit — Refundable Portion</t>
        </is>
      </c>
      <c r="C54" s="33" t="n">
        <v>1700</v>
      </c>
    </row>
    <row r="55">
      <c r="B55" s="7" t="inlineStr">
        <is>
          <t>SALT Deduction Cap</t>
        </is>
      </c>
      <c r="C55" s="33" t="n">
        <v>10000</v>
      </c>
    </row>
    <row r="56">
      <c r="B56" s="7" t="inlineStr">
        <is>
          <t>QBI Deduction Threshold — Single</t>
        </is>
      </c>
      <c r="C56" s="33" t="n">
        <v>197300</v>
      </c>
    </row>
    <row r="57">
      <c r="B57" s="7" t="inlineStr">
        <is>
          <t>QBI Deduction Threshold — MFJ</t>
        </is>
      </c>
      <c r="C57" s="33" t="n">
        <v>394600</v>
      </c>
    </row>
    <row r="58">
      <c r="B58" s="7" t="inlineStr">
        <is>
          <t>Annual Gift Tax Exclusion</t>
        </is>
      </c>
      <c r="C58" s="33" t="n">
        <v>19000</v>
      </c>
    </row>
    <row r="59">
      <c r="B59" s="7" t="inlineStr">
        <is>
          <t>FATCA Threshold — Domestic Single (Year-End)</t>
        </is>
      </c>
      <c r="C59" s="33" t="n">
        <v>50000</v>
      </c>
    </row>
    <row r="60">
      <c r="B60" s="7" t="inlineStr">
        <is>
          <t>FATCA Threshold — Domestic Single (Any Time)</t>
        </is>
      </c>
      <c r="C60" s="33" t="n">
        <v>75000</v>
      </c>
    </row>
    <row r="61">
      <c r="B61" s="7" t="inlineStr">
        <is>
          <t>FATCA Threshold — Domestic MFJ (Year-End)</t>
        </is>
      </c>
      <c r="C61" s="33" t="n">
        <v>100000</v>
      </c>
    </row>
    <row r="62">
      <c r="B62" s="7" t="inlineStr">
        <is>
          <t>FATCA Threshold — Domestic MFJ (Any Time)</t>
        </is>
      </c>
      <c r="C62" s="33" t="n">
        <v>150000</v>
      </c>
    </row>
    <row r="63">
      <c r="B63" s="7" t="inlineStr">
        <is>
          <t>FATCA Threshold — Foreign Single (Year-End)</t>
        </is>
      </c>
      <c r="C63" s="33" t="n">
        <v>200000</v>
      </c>
    </row>
    <row r="64">
      <c r="B64" s="7" t="inlineStr">
        <is>
          <t>FATCA Threshold — Foreign Single (Any Time)</t>
        </is>
      </c>
      <c r="C64" s="33" t="n">
        <v>300000</v>
      </c>
    </row>
    <row r="65">
      <c r="B65" s="7" t="inlineStr">
        <is>
          <t>FATCA Threshold — Foreign MFJ (Year-End)</t>
        </is>
      </c>
      <c r="C65" s="33" t="n">
        <v>400000</v>
      </c>
    </row>
    <row r="66">
      <c r="B66" s="7" t="inlineStr">
        <is>
          <t>FATCA Threshold — Foreign MFJ (Any Time)</t>
        </is>
      </c>
      <c r="C66" s="33" t="n">
        <v>600000</v>
      </c>
    </row>
    <row r="67">
      <c r="B67" s="7" t="inlineStr">
        <is>
          <t>FBAR Threshold (aggregate)</t>
        </is>
      </c>
      <c r="C67" s="33" t="n">
        <v>10000</v>
      </c>
    </row>
    <row r="68">
      <c r="B68" s="7" t="inlineStr">
        <is>
          <t>Form 3520 Gift Threshold — Foreign Individuals</t>
        </is>
      </c>
      <c r="C68" s="33" t="n">
        <v>100000</v>
      </c>
    </row>
    <row r="69">
      <c r="B69" s="7" t="inlineStr">
        <is>
          <t>Form 3520 Gift Threshold — Foreign Corporations</t>
        </is>
      </c>
      <c r="C69" s="33" t="n">
        <v>19570</v>
      </c>
    </row>
    <row r="70">
      <c r="B70" s="7" t="inlineStr">
        <is>
          <t>Educator Expense Deduction Max</t>
        </is>
      </c>
      <c r="C70" s="33" t="n">
        <v>300</v>
      </c>
    </row>
    <row r="71">
      <c r="B71" s="7" t="inlineStr">
        <is>
          <t>Student Loan Interest Deduction Max</t>
        </is>
      </c>
      <c r="C71" s="33" t="n">
        <v>2500</v>
      </c>
    </row>
  </sheetData>
  <mergeCells count="5">
    <mergeCell ref="B3:G3"/>
    <mergeCell ref="B23:D23"/>
    <mergeCell ref="B13:G13"/>
    <mergeCell ref="B38:D38"/>
    <mergeCell ref="B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B1:F5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50" customWidth="1" min="3" max="3"/>
    <col width="20" customWidth="1" min="4" max="4"/>
    <col width="20" customWidth="1" min="5" max="5"/>
    <col width="25" customWidth="1" min="6" max="6"/>
  </cols>
  <sheetData>
    <row r="1">
      <c r="B1" s="1" t="inlineStr">
        <is>
          <t>Form 1040 — U.S. Individual Income Tax Return (2025)</t>
        </is>
      </c>
    </row>
    <row r="2">
      <c r="B2" s="3" t="inlineStr">
        <is>
          <t>All amounts pull from Intake and Schedule tabs via formulas</t>
        </is>
      </c>
    </row>
    <row r="4">
      <c r="B4" s="4" t="inlineStr">
        <is>
          <t>INCOME</t>
        </is>
      </c>
      <c r="C4" s="5" t="n"/>
      <c r="D4" s="5" t="n"/>
      <c r="E4" s="6" t="n"/>
    </row>
    <row r="5">
      <c r="B5" s="30" t="inlineStr">
        <is>
          <t>1a</t>
        </is>
      </c>
      <c r="C5" s="7" t="inlineStr">
        <is>
          <t>Wages, salaries, tips (W-2, Box 1)</t>
        </is>
      </c>
      <c r="D5" s="21">
        <f>Intake!D57</f>
        <v/>
      </c>
    </row>
    <row r="6">
      <c r="B6" s="30" t="inlineStr">
        <is>
          <t>1b</t>
        </is>
      </c>
      <c r="C6" s="7" t="inlineStr">
        <is>
          <t>Household employee income (not on W-2)</t>
        </is>
      </c>
      <c r="D6" s="21">
        <f>Intake!C181</f>
        <v/>
      </c>
    </row>
    <row r="7">
      <c r="B7" s="30" t="inlineStr">
        <is>
          <t>1c</t>
        </is>
      </c>
      <c r="C7" s="7" t="inlineStr">
        <is>
          <t>Tip income not on W-2</t>
        </is>
      </c>
      <c r="D7" s="21">
        <f>Intake!C181</f>
        <v/>
      </c>
    </row>
    <row r="8">
      <c r="B8" s="30" t="inlineStr">
        <is>
          <t>1z</t>
        </is>
      </c>
      <c r="C8" s="7" t="inlineStr">
        <is>
          <t>Total from lines 1a through 1c</t>
        </is>
      </c>
      <c r="D8" s="35">
        <f>D5+D6+D7</f>
        <v/>
      </c>
    </row>
    <row r="9">
      <c r="B9" s="30" t="inlineStr">
        <is>
          <t>2a</t>
        </is>
      </c>
      <c r="C9" s="7" t="inlineStr">
        <is>
          <t>Tax-exempt interest</t>
        </is>
      </c>
      <c r="D9" s="21">
        <f>Intake!E69</f>
        <v/>
      </c>
    </row>
    <row r="10">
      <c r="B10" s="30" t="inlineStr">
        <is>
          <t>2b</t>
        </is>
      </c>
      <c r="C10" s="7" t="inlineStr">
        <is>
          <t>Taxable interest</t>
        </is>
      </c>
      <c r="D10" s="21">
        <f>Intake!D69</f>
        <v/>
      </c>
    </row>
    <row r="11">
      <c r="B11" s="30" t="inlineStr">
        <is>
          <t>3a</t>
        </is>
      </c>
      <c r="C11" s="7" t="inlineStr">
        <is>
          <t>Qualified dividends</t>
        </is>
      </c>
      <c r="D11" s="21">
        <f>Intake!D83</f>
        <v/>
      </c>
    </row>
    <row r="12">
      <c r="B12" s="30" t="inlineStr">
        <is>
          <t>3b</t>
        </is>
      </c>
      <c r="C12" s="7" t="inlineStr">
        <is>
          <t>Ordinary dividends</t>
        </is>
      </c>
      <c r="D12" s="21">
        <f>Intake!C82</f>
        <v/>
      </c>
    </row>
    <row r="13">
      <c r="B13" s="30" t="inlineStr">
        <is>
          <t>4a</t>
        </is>
      </c>
      <c r="C13" s="7" t="inlineStr">
        <is>
          <t>IRA distributions — Gross</t>
        </is>
      </c>
      <c r="D13" s="21">
        <f>Intake!C169</f>
        <v/>
      </c>
    </row>
    <row r="14">
      <c r="B14" s="30" t="inlineStr">
        <is>
          <t>4b</t>
        </is>
      </c>
      <c r="C14" s="7" t="inlineStr">
        <is>
          <t>IRA distributions — Taxable</t>
        </is>
      </c>
      <c r="D14" s="21">
        <f>Intake!C170</f>
        <v/>
      </c>
    </row>
    <row r="15">
      <c r="B15" s="30" t="inlineStr">
        <is>
          <t>5a</t>
        </is>
      </c>
      <c r="C15" s="7" t="inlineStr">
        <is>
          <t>Pensions and annuities — Gross</t>
        </is>
      </c>
      <c r="D15" s="21">
        <f>Intake!C171</f>
        <v/>
      </c>
    </row>
    <row r="16">
      <c r="B16" s="30" t="inlineStr">
        <is>
          <t>5b</t>
        </is>
      </c>
      <c r="C16" s="7" t="inlineStr">
        <is>
          <t>Pensions and annuities — Taxable</t>
        </is>
      </c>
      <c r="D16" s="21">
        <f>Intake!C172</f>
        <v/>
      </c>
    </row>
    <row r="17">
      <c r="B17" s="30" t="inlineStr">
        <is>
          <t>6a</t>
        </is>
      </c>
      <c r="C17" s="7" t="inlineStr">
        <is>
          <t>Social Security benefits — Gross</t>
        </is>
      </c>
      <c r="D17" s="21">
        <f>Intake!C173</f>
        <v/>
      </c>
    </row>
    <row r="18">
      <c r="B18" s="30" t="inlineStr">
        <is>
          <t>6b</t>
        </is>
      </c>
      <c r="C18" s="7" t="inlineStr">
        <is>
          <t>Social Security benefits — Taxable</t>
        </is>
      </c>
      <c r="D18" s="21">
        <f>Intake!C174</f>
        <v/>
      </c>
    </row>
    <row r="19">
      <c r="B19" s="30" t="inlineStr">
        <is>
          <t>7</t>
        </is>
      </c>
      <c r="C19" s="7" t="inlineStr">
        <is>
          <t>Capital gain or (loss) — Schedule D</t>
        </is>
      </c>
      <c r="D19" s="21">
        <f>'Schedule D'!D50</f>
        <v/>
      </c>
    </row>
    <row r="20">
      <c r="B20" s="30" t="inlineStr">
        <is>
          <t>8</t>
        </is>
      </c>
      <c r="C20" s="7" t="inlineStr">
        <is>
          <t>Other income from Schedule 1, line 10</t>
        </is>
      </c>
      <c r="D20" s="21">
        <f>'Schedule 1'!D30</f>
        <v/>
      </c>
    </row>
    <row r="21">
      <c r="B21" s="30" t="inlineStr">
        <is>
          <t>9</t>
        </is>
      </c>
      <c r="C21" s="7" t="inlineStr">
        <is>
          <t>Total income (add 1z, 2b, 3b, 4b, 5b, 6b, 7, 8)</t>
        </is>
      </c>
      <c r="D21" s="16">
        <f>D8+D10+D12+D14+D16+D18+D19+D20</f>
        <v/>
      </c>
    </row>
    <row r="23">
      <c r="B23" s="4" t="inlineStr">
        <is>
          <t>ADJUSTED GROSS INCOME</t>
        </is>
      </c>
      <c r="C23" s="5" t="n"/>
      <c r="D23" s="5" t="n"/>
      <c r="E23" s="6" t="n"/>
    </row>
    <row r="24">
      <c r="B24" s="30" t="inlineStr">
        <is>
          <t>10</t>
        </is>
      </c>
      <c r="C24" s="7" t="inlineStr">
        <is>
          <t>Adjustments from Schedule 1, line 26</t>
        </is>
      </c>
      <c r="D24" s="21">
        <f>'Schedule 1'!D60</f>
        <v/>
      </c>
    </row>
    <row r="25">
      <c r="B25" s="30" t="inlineStr">
        <is>
          <t>11</t>
        </is>
      </c>
      <c r="C25" s="7" t="inlineStr">
        <is>
          <t>Adjusted gross income (line 9 minus line 10)</t>
        </is>
      </c>
      <c r="D25" s="16">
        <f>D21-D24</f>
        <v/>
      </c>
    </row>
    <row r="27">
      <c r="B27" s="4" t="inlineStr">
        <is>
          <t>DEDUCTIONS &amp; TAXABLE INCOME</t>
        </is>
      </c>
      <c r="C27" s="5" t="n"/>
      <c r="D27" s="5" t="n"/>
      <c r="E27" s="6" t="n"/>
    </row>
    <row r="28">
      <c r="B28" s="30" t="inlineStr">
        <is>
          <t>12</t>
        </is>
      </c>
      <c r="C28" s="7" t="inlineStr">
        <is>
          <t>Standard deduction or itemized deductions</t>
        </is>
      </c>
      <c r="D28" s="21">
        <f>'Deduction Calc'!D10</f>
        <v/>
      </c>
    </row>
    <row r="29">
      <c r="B29" s="30" t="inlineStr">
        <is>
          <t>13</t>
        </is>
      </c>
      <c r="C29" s="7" t="inlineStr">
        <is>
          <t>Qualified business income deduction (Sec 199A)</t>
        </is>
      </c>
      <c r="D29" s="21">
        <f>Intake!C184</f>
        <v/>
      </c>
    </row>
    <row r="30">
      <c r="B30" s="30" t="inlineStr">
        <is>
          <t>14</t>
        </is>
      </c>
      <c r="C30" s="7" t="inlineStr">
        <is>
          <t>Total deductions (line 12 + line 13)</t>
        </is>
      </c>
      <c r="D30" s="35">
        <f>D28+D29</f>
        <v/>
      </c>
    </row>
    <row r="31">
      <c r="B31" s="30" t="inlineStr">
        <is>
          <t>15</t>
        </is>
      </c>
      <c r="C31" s="7" t="inlineStr">
        <is>
          <t>Taxable income (line 11 minus line 14, not less than 0)</t>
        </is>
      </c>
      <c r="D31" s="16">
        <f>MAX(0,D25-D30)</f>
        <v/>
      </c>
    </row>
    <row r="33">
      <c r="B33" s="4" t="inlineStr">
        <is>
          <t>TAX COMPUTATION</t>
        </is>
      </c>
      <c r="C33" s="5" t="n"/>
      <c r="D33" s="5" t="n"/>
      <c r="E33" s="6" t="n"/>
    </row>
    <row r="34">
      <c r="B34" s="30" t="inlineStr">
        <is>
          <t>16</t>
        </is>
      </c>
      <c r="C34" s="7" t="inlineStr">
        <is>
          <t>Tax (from Tax Computation worksheet)</t>
        </is>
      </c>
      <c r="D34" s="21">
        <f>'Tax Computation'!D30</f>
        <v/>
      </c>
    </row>
    <row r="35">
      <c r="B35" s="30" t="inlineStr">
        <is>
          <t>17</t>
        </is>
      </c>
      <c r="C35" s="7" t="inlineStr">
        <is>
          <t>Amount from Schedule 2, line 21 (additional taxes)</t>
        </is>
      </c>
      <c r="D35" s="21">
        <f>'Schedule 2'!D25</f>
        <v/>
      </c>
    </row>
    <row r="36">
      <c r="B36" s="30" t="inlineStr">
        <is>
          <t>18</t>
        </is>
      </c>
      <c r="C36" s="7" t="inlineStr">
        <is>
          <t>Total tax before credits (line 16 + 17)</t>
        </is>
      </c>
      <c r="D36" s="35">
        <f>D34+D35</f>
        <v/>
      </c>
    </row>
    <row r="37">
      <c r="B37" s="30" t="inlineStr">
        <is>
          <t>19</t>
        </is>
      </c>
      <c r="C37" s="7" t="inlineStr">
        <is>
          <t>Nonrefundable credits from Schedule 3, line 8</t>
        </is>
      </c>
      <c r="D37" s="21">
        <f>'Schedule 3'!D15</f>
        <v/>
      </c>
    </row>
    <row r="38">
      <c r="B38" s="30" t="inlineStr">
        <is>
          <t>20</t>
        </is>
      </c>
      <c r="C38" s="7" t="inlineStr">
        <is>
          <t>Subtract line 19 from 18 (not less than 0)</t>
        </is>
      </c>
      <c r="D38" s="35">
        <f>MAX(0,D36-D37)</f>
        <v/>
      </c>
    </row>
    <row r="39">
      <c r="B39" s="30" t="inlineStr">
        <is>
          <t>21</t>
        </is>
      </c>
      <c r="C39" s="7" t="inlineStr">
        <is>
          <t>Other taxes from Schedule 2, line 21</t>
        </is>
      </c>
      <c r="D39" s="21">
        <f>'Schedule 2'!D25</f>
        <v/>
      </c>
    </row>
    <row r="40">
      <c r="B40" s="30" t="inlineStr">
        <is>
          <t>22</t>
        </is>
      </c>
      <c r="C40" s="7" t="inlineStr">
        <is>
          <t>Total tax (line 20 + 21)</t>
        </is>
      </c>
      <c r="D40" s="16">
        <f>D38+D39</f>
        <v/>
      </c>
    </row>
    <row r="42">
      <c r="B42" s="4" t="inlineStr">
        <is>
          <t>PAYMENTS</t>
        </is>
      </c>
      <c r="C42" s="5" t="n"/>
      <c r="D42" s="5" t="n"/>
      <c r="E42" s="6" t="n"/>
    </row>
    <row r="43">
      <c r="B43" s="30" t="inlineStr">
        <is>
          <t>23</t>
        </is>
      </c>
      <c r="C43" s="7" t="inlineStr">
        <is>
          <t>Federal income tax withheld</t>
        </is>
      </c>
      <c r="D43" s="21">
        <f>Intake!C233</f>
        <v/>
      </c>
    </row>
    <row r="44">
      <c r="B44" s="30" t="inlineStr">
        <is>
          <t>24</t>
        </is>
      </c>
      <c r="C44" s="7" t="inlineStr">
        <is>
          <t>Estimated tax payments + amount applied from prior year</t>
        </is>
      </c>
      <c r="D44" s="21">
        <f>Intake!C234+Intake!C235+Intake!C236+Intake!C237+Intake!C238</f>
        <v/>
      </c>
    </row>
    <row r="45">
      <c r="B45" s="30" t="inlineStr">
        <is>
          <t>25</t>
        </is>
      </c>
      <c r="C45" s="7" t="inlineStr">
        <is>
          <t>Earned income credit</t>
        </is>
      </c>
      <c r="D45" s="21">
        <f>Intake!C229</f>
        <v/>
      </c>
    </row>
    <row r="46">
      <c r="B46" s="30" t="inlineStr">
        <is>
          <t>26</t>
        </is>
      </c>
      <c r="C46" s="7" t="inlineStr">
        <is>
          <t>Additional child tax credit (Form 8812)</t>
        </is>
      </c>
      <c r="D46" s="21">
        <f>Intake!C226</f>
        <v/>
      </c>
    </row>
    <row r="47">
      <c r="B47" s="30" t="inlineStr">
        <is>
          <t>27</t>
        </is>
      </c>
      <c r="C47" s="7" t="inlineStr">
        <is>
          <t>American opportunity credit (Form 8863)</t>
        </is>
      </c>
      <c r="D47" s="21">
        <f>Intake!C227</f>
        <v/>
      </c>
    </row>
    <row r="48">
      <c r="B48" s="30" t="inlineStr">
        <is>
          <t>28</t>
        </is>
      </c>
      <c r="C48" s="7" t="inlineStr">
        <is>
          <t>Other refundable credits (Schedule 3)</t>
        </is>
      </c>
      <c r="D48" s="21">
        <f>'Schedule 3'!D25</f>
        <v/>
      </c>
    </row>
    <row r="49">
      <c r="B49" s="30" t="inlineStr">
        <is>
          <t>29</t>
        </is>
      </c>
      <c r="C49" s="7" t="inlineStr">
        <is>
          <t>Total other payments and refundable credits</t>
        </is>
      </c>
      <c r="D49" s="35">
        <f>D45+D46+D47+D48</f>
        <v/>
      </c>
    </row>
    <row r="50">
      <c r="B50" s="30" t="inlineStr">
        <is>
          <t>30</t>
        </is>
      </c>
      <c r="C50" s="7" t="inlineStr">
        <is>
          <t>Extension payment (Form 4868)</t>
        </is>
      </c>
      <c r="D50" s="21">
        <f>Intake!C239</f>
        <v/>
      </c>
    </row>
    <row r="51">
      <c r="B51" s="30" t="inlineStr">
        <is>
          <t>31</t>
        </is>
      </c>
      <c r="C51" s="7" t="inlineStr">
        <is>
          <t>Excess SS tax withheld</t>
        </is>
      </c>
      <c r="D51" s="21">
        <f>Intake!C240</f>
        <v/>
      </c>
    </row>
    <row r="52">
      <c r="B52" s="30" t="inlineStr">
        <is>
          <t>32</t>
        </is>
      </c>
      <c r="C52" s="7" t="inlineStr">
        <is>
          <t>Other payments</t>
        </is>
      </c>
      <c r="D52" s="21">
        <f>Intake!C241</f>
        <v/>
      </c>
    </row>
    <row r="53">
      <c r="B53" s="30" t="inlineStr">
        <is>
          <t>33</t>
        </is>
      </c>
      <c r="C53" s="7" t="inlineStr">
        <is>
          <t>Total payments</t>
        </is>
      </c>
      <c r="D53" s="16">
        <f>SUM(D43:D52)</f>
        <v/>
      </c>
    </row>
    <row r="55">
      <c r="B55" s="4" t="inlineStr">
        <is>
          <t>REFUND OR AMOUNT OWED</t>
        </is>
      </c>
      <c r="C55" s="5" t="n"/>
      <c r="D55" s="5" t="n"/>
      <c r="E55" s="6" t="n"/>
    </row>
    <row r="56">
      <c r="B56" s="30" t="inlineStr">
        <is>
          <t>34</t>
        </is>
      </c>
      <c r="C56" s="7" t="inlineStr">
        <is>
          <t>Overpayment (if line 33 &gt; line 22)</t>
        </is>
      </c>
      <c r="D56" s="36">
        <f>IF(D53&gt;D40,D53-D40,0)</f>
        <v/>
      </c>
    </row>
    <row r="57">
      <c r="B57" s="30" t="inlineStr">
        <is>
          <t>35a</t>
        </is>
      </c>
      <c r="C57" s="7" t="inlineStr">
        <is>
          <t>Amount of line 34 you want REFUNDED to you</t>
        </is>
      </c>
      <c r="D57" s="35">
        <f>D56</f>
        <v/>
      </c>
    </row>
    <row r="58">
      <c r="B58" s="30" t="inlineStr">
        <is>
          <t>37</t>
        </is>
      </c>
      <c r="C58" s="7" t="inlineStr">
        <is>
          <t>Amount you OWE (if line 22 &gt; line 33)</t>
        </is>
      </c>
      <c r="D58" s="37">
        <f>IF(D40&gt;D53,D40-D53,0)</f>
        <v/>
      </c>
    </row>
    <row r="59">
      <c r="B59" s="30" t="inlineStr">
        <is>
          <t>38</t>
        </is>
      </c>
      <c r="C59" s="7" t="inlineStr">
        <is>
          <t>Estimated tax penalty</t>
        </is>
      </c>
      <c r="D59" s="14" t="n"/>
    </row>
  </sheetData>
  <mergeCells count="7">
    <mergeCell ref="B23:E23"/>
    <mergeCell ref="B27:E27"/>
    <mergeCell ref="B4:E4"/>
    <mergeCell ref="B33:E33"/>
    <mergeCell ref="B55:E55"/>
    <mergeCell ref="B1:F1"/>
    <mergeCell ref="B42:E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0" customWidth="1" min="3" max="3"/>
    <col width="20" customWidth="1" min="4" max="4"/>
  </cols>
  <sheetData>
    <row r="1">
      <c r="B1" s="19" t="inlineStr">
        <is>
          <t>Deduction Determination Worksheet</t>
        </is>
      </c>
    </row>
    <row r="3">
      <c r="B3" s="4" t="inlineStr">
        <is>
          <t>STANDARD DEDUCTION CALCULATION</t>
        </is>
      </c>
      <c r="C3" s="5" t="n"/>
      <c r="D3" s="6" t="n"/>
    </row>
    <row r="4">
      <c r="B4" s="30" t="inlineStr">
        <is>
          <t>1</t>
        </is>
      </c>
      <c r="C4" s="7" t="inlineStr">
        <is>
          <t>Filing Status</t>
        </is>
      </c>
      <c r="D4" s="28">
        <f>Intake!C6</f>
        <v/>
      </c>
    </row>
    <row r="5">
      <c r="B5" s="30" t="inlineStr">
        <is>
          <t>2</t>
        </is>
      </c>
      <c r="C5" s="7" t="inlineStr">
        <is>
          <t>Base standard deduction for filing status</t>
        </is>
      </c>
      <c r="D5" s="35">
        <f>IF(D4=1,15750,IF(D4=2,31500,IF(D4=3,15750,IF(D4=4,23625,IF(D4=5,31500,0)))))</f>
        <v/>
      </c>
    </row>
    <row r="6">
      <c r="B6" s="30" t="inlineStr">
        <is>
          <t>3</t>
        </is>
      </c>
      <c r="C6" s="7" t="inlineStr">
        <is>
          <t>Additional for age 65+ (primary)</t>
        </is>
      </c>
      <c r="D6" s="35">
        <f>IF(Intake!C17="Y",IF(OR(D4=1,D4=4),2000,1600),0)</f>
        <v/>
      </c>
    </row>
    <row r="7">
      <c r="B7" s="30" t="inlineStr">
        <is>
          <t>4</t>
        </is>
      </c>
      <c r="C7" s="7" t="inlineStr">
        <is>
          <t>Additional for age 65+ (spouse, if MFJ)</t>
        </is>
      </c>
      <c r="D7" s="35">
        <f>IF(AND(D4=2,Intake!E17="Y"),1600,0)</f>
        <v/>
      </c>
    </row>
    <row r="8">
      <c r="B8" s="30" t="inlineStr">
        <is>
          <t>5</t>
        </is>
      </c>
      <c r="C8" s="7" t="inlineStr">
        <is>
          <t>Additional for blindness (primary)</t>
        </is>
      </c>
      <c r="D8" s="35">
        <f>IF(Intake!C16="Y",IF(OR(D4=1,D4=4),2000,1600),0)</f>
        <v/>
      </c>
    </row>
    <row r="9">
      <c r="B9" s="30" t="inlineStr">
        <is>
          <t>6</t>
        </is>
      </c>
      <c r="C9" s="24" t="inlineStr">
        <is>
          <t>Total standard deduction</t>
        </is>
      </c>
      <c r="D9" s="16">
        <f>SUM(D5:D8)</f>
        <v/>
      </c>
    </row>
    <row r="11">
      <c r="B11" s="4" t="inlineStr">
        <is>
          <t>ITEMIZED DEDUCTIONS TOTAL</t>
        </is>
      </c>
      <c r="C11" s="5" t="n"/>
      <c r="D11" s="6" t="n"/>
    </row>
    <row r="12">
      <c r="B12" s="30" t="inlineStr">
        <is>
          <t>7</t>
        </is>
      </c>
      <c r="C12" s="7" t="inlineStr">
        <is>
          <t>Total itemized deductions (from Schedule A)</t>
        </is>
      </c>
      <c r="D12" s="21">
        <f>'Schedule A'!D30</f>
        <v/>
      </c>
    </row>
    <row r="14">
      <c r="B14" s="4" t="inlineStr">
        <is>
          <t>DEDUCTION USED ON RETURN</t>
        </is>
      </c>
      <c r="C14" s="5" t="n"/>
      <c r="D14" s="6" t="n"/>
    </row>
    <row r="15">
      <c r="B15" s="30" t="inlineStr">
        <is>
          <t>8</t>
        </is>
      </c>
      <c r="C15" s="24" t="inlineStr">
        <is>
          <t>Greater of standard or itemized (or per taxpayer choice)</t>
        </is>
      </c>
      <c r="D15" s="16">
        <f>IF(Intake!C8="I",D12,IF(Intake!C8="S",D9,MAX(D9,D12)))</f>
        <v/>
      </c>
    </row>
  </sheetData>
  <mergeCells count="3">
    <mergeCell ref="B11:D11"/>
    <mergeCell ref="B3:D3"/>
    <mergeCell ref="B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B1:D3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5" customWidth="1" min="3" max="3"/>
    <col width="20" customWidth="1" min="4" max="4"/>
  </cols>
  <sheetData>
    <row r="1">
      <c r="B1" s="19" t="inlineStr">
        <is>
          <t>Tax Computation Worksheet — 2025</t>
        </is>
      </c>
    </row>
    <row r="3">
      <c r="B3" s="3" t="inlineStr">
        <is>
          <t>Calculates ordinary income tax using progressive bracket rates</t>
        </is>
      </c>
    </row>
    <row r="5">
      <c r="B5" s="4" t="inlineStr">
        <is>
          <t>INPUTS</t>
        </is>
      </c>
      <c r="C5" s="5" t="n"/>
      <c r="D5" s="6" t="n"/>
    </row>
    <row r="6">
      <c r="C6" s="7" t="inlineStr">
        <is>
          <t>Filing Status</t>
        </is>
      </c>
      <c r="D6" s="28">
        <f>Intake!C6</f>
        <v/>
      </c>
    </row>
    <row r="7">
      <c r="C7" s="7" t="inlineStr">
        <is>
          <t>Taxable Income (from Form 1040, Line 15)</t>
        </is>
      </c>
      <c r="D7" s="21">
        <f>'Form 1040'!D31</f>
        <v/>
      </c>
    </row>
    <row r="9">
      <c r="B9" s="4" t="inlineStr">
        <is>
          <t>PROGRESSIVE TAX CALCULATION</t>
        </is>
      </c>
      <c r="C9" s="5" t="n"/>
      <c r="D9" s="6" t="n"/>
    </row>
    <row r="10">
      <c r="B10" s="29" t="inlineStr">
        <is>
          <t>#</t>
        </is>
      </c>
      <c r="C10" s="29" t="inlineStr">
        <is>
          <t>Bracket Description</t>
        </is>
      </c>
      <c r="D10" s="29" t="inlineStr">
        <is>
          <t>Tax in Bracket</t>
        </is>
      </c>
    </row>
    <row r="11">
      <c r="B11" s="30" t="inlineStr">
        <is>
          <t>1</t>
        </is>
      </c>
      <c r="C11" s="7" t="inlineStr">
        <is>
          <t>10% bracket</t>
        </is>
      </c>
      <c r="D11" s="35">
        <f>IF(D$7&gt;0,IF(OR(D$6=1,D$6=3),0.1*MAX(0,MIN(D$7,11925)-0),IF(D$6=2,0.1*MAX(0,MIN(D$7,23850)-0),IF(D$6=4,0.1*MAX(0,MIN(D$7,17000)-0),0.1*MAX(0,MIN(D$7,11925)-0)))),0)</f>
        <v/>
      </c>
    </row>
    <row r="12">
      <c r="B12" s="30" t="inlineStr">
        <is>
          <t>2</t>
        </is>
      </c>
      <c r="C12" s="7" t="inlineStr">
        <is>
          <t>12% bracket</t>
        </is>
      </c>
      <c r="D12" s="35">
        <f>IF(D$7&gt;0,IF(OR(D$6=1,D$6=3),0.12*MAX(0,MIN(D$7,48475)-11925),IF(D$6=2,0.12*MAX(0,MIN(D$7,96950)-23850),IF(D$6=4,0.12*MAX(0,MIN(D$7,64850)-17000),0.12*MAX(0,MIN(D$7,48475)-11925)))),0)</f>
        <v/>
      </c>
    </row>
    <row r="13">
      <c r="B13" s="30" t="inlineStr">
        <is>
          <t>3</t>
        </is>
      </c>
      <c r="C13" s="7" t="inlineStr">
        <is>
          <t>22% bracket</t>
        </is>
      </c>
      <c r="D13" s="35">
        <f>IF(D$7&gt;0,IF(OR(D$6=1,D$6=3),0.22*MAX(0,MIN(D$7,103350)-48475),IF(D$6=2,0.22*MAX(0,MIN(D$7,206700)-96950),IF(D$6=4,0.22*MAX(0,MIN(D$7,103350)-64850),0.22*MAX(0,MIN(D$7,103350)-48475)))),0)</f>
        <v/>
      </c>
    </row>
    <row r="14">
      <c r="B14" s="30" t="inlineStr">
        <is>
          <t>4</t>
        </is>
      </c>
      <c r="C14" s="7" t="inlineStr">
        <is>
          <t>24% bracket</t>
        </is>
      </c>
      <c r="D14" s="35">
        <f>IF(D$7&gt;0,IF(OR(D$6=1,D$6=3),0.24*MAX(0,MIN(D$7,197300)-103350),IF(D$6=2,0.24*MAX(0,MIN(D$7,394600)-206700),IF(D$6=4,0.24*MAX(0,MIN(D$7,197300)-103350),0.24*MAX(0,MIN(D$7,197300)-103350)))),0)</f>
        <v/>
      </c>
    </row>
    <row r="15">
      <c r="B15" s="30" t="inlineStr">
        <is>
          <t>5</t>
        </is>
      </c>
      <c r="C15" s="7" t="inlineStr">
        <is>
          <t>32% bracket</t>
        </is>
      </c>
      <c r="D15" s="35">
        <f>IF(D$7&gt;0,IF(OR(D$6=1,D$6=3),0.32*MAX(0,MIN(D$7,250525)-197300),IF(D$6=2,0.32*MAX(0,MIN(D$7,501050)-394600),IF(D$6=4,0.32*MAX(0,MIN(D$7,250500)-197300),0.32*MAX(0,MIN(D$7,250525)-197300)))),0)</f>
        <v/>
      </c>
    </row>
    <row r="16">
      <c r="B16" s="30" t="inlineStr">
        <is>
          <t>6</t>
        </is>
      </c>
      <c r="C16" s="7" t="inlineStr">
        <is>
          <t>35% bracket</t>
        </is>
      </c>
      <c r="D16" s="35">
        <f>IF(D$7&gt;0,IF(OR(D$6=1,D$6=3),0.35*MAX(0,MIN(D$7,626350)-250525),IF(D$6=2,0.35*MAX(0,MIN(D$7,751600)-501050),IF(D$6=4,0.35*MAX(0,MIN(D$7,626350)-250500),0.35*MAX(0,MIN(D$7,626350)-250525)))),0)</f>
        <v/>
      </c>
    </row>
    <row r="17">
      <c r="B17" s="30" t="inlineStr">
        <is>
          <t>7</t>
        </is>
      </c>
      <c r="C17" s="7" t="inlineStr">
        <is>
          <t>37% bracket</t>
        </is>
      </c>
      <c r="D17" s="35">
        <f>IF(D$7&gt;0,IF(OR(D$6=1,D$6=3),0.37*MAX(0,MIN(D$7,99999999)-626350),IF(D$6=2,0.37*MAX(0,MIN(D$7,99999999)-751600),IF(D$6=4,0.37*MAX(0,MIN(D$7,99999999)-626350),0.37*MAX(0,MIN(D$7,99999999)-626350)))),0)</f>
        <v/>
      </c>
    </row>
    <row r="19">
      <c r="B19" s="38" t="inlineStr"/>
      <c r="C19" s="22" t="inlineStr">
        <is>
          <t>Total Ordinary Income Tax</t>
        </is>
      </c>
      <c r="D19" s="16">
        <f>SUM(D11:D17)</f>
        <v/>
      </c>
    </row>
    <row r="21">
      <c r="B21" s="4" t="inlineStr">
        <is>
          <t>QUALIFIED DIVIDENDS &amp; LTCG TAX (SIMPLIFIED)</t>
        </is>
      </c>
      <c r="C21" s="5" t="n"/>
      <c r="D21" s="6" t="n"/>
    </row>
    <row r="22">
      <c r="C22" s="7" t="inlineStr">
        <is>
          <t>Qualified dividends</t>
        </is>
      </c>
      <c r="D22" s="21">
        <f>'Form 1040'!D11</f>
        <v/>
      </c>
    </row>
    <row r="23">
      <c r="C23" s="7" t="inlineStr">
        <is>
          <t>Net LTCG from Schedule D</t>
        </is>
      </c>
      <c r="D23" s="21">
        <f>'Schedule D'!D48</f>
        <v/>
      </c>
    </row>
    <row r="24">
      <c r="C24" s="7" t="inlineStr">
        <is>
          <t>Total preferential rate income</t>
        </is>
      </c>
      <c r="D24" s="35">
        <f>D22+MAX(0,D23)</f>
        <v/>
      </c>
    </row>
    <row r="25">
      <c r="C25" s="3" t="inlineStr">
        <is>
          <t>Note: Full QDCG worksheet computation recommended for complex returns</t>
        </is>
      </c>
    </row>
    <row r="30">
      <c r="B30" s="38" t="inlineStr"/>
      <c r="C30" s="22" t="inlineStr">
        <is>
          <t>TAX (Line 16 of Form 1040)</t>
        </is>
      </c>
      <c r="D30" s="16">
        <f>D19</f>
        <v/>
      </c>
    </row>
  </sheetData>
  <mergeCells count="3">
    <mergeCell ref="B9:D9"/>
    <mergeCell ref="B5:D5"/>
    <mergeCell ref="B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B1:D6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5" customWidth="1" min="3" max="3"/>
    <col width="20" customWidth="1" min="4" max="4"/>
  </cols>
  <sheetData>
    <row r="1">
      <c r="B1" s="19" t="inlineStr">
        <is>
          <t>Schedule 1 — Additional Income and Adjustments to Income</t>
        </is>
      </c>
    </row>
    <row r="3">
      <c r="B3" s="4" t="inlineStr">
        <is>
          <t>PART I — ADDITIONAL INCOME</t>
        </is>
      </c>
      <c r="C3" s="5" t="n"/>
      <c r="D3" s="6" t="n"/>
    </row>
    <row r="4">
      <c r="B4" s="30" t="inlineStr">
        <is>
          <t>1</t>
        </is>
      </c>
      <c r="C4" s="7" t="inlineStr">
        <is>
          <t>Taxable refunds of state/local taxes</t>
        </is>
      </c>
      <c r="D4" s="21">
        <f>Intake!C167</f>
        <v/>
      </c>
    </row>
    <row r="5">
      <c r="B5" s="30" t="inlineStr">
        <is>
          <t>2a</t>
        </is>
      </c>
      <c r="C5" s="7" t="inlineStr">
        <is>
          <t>Alimony received (pre-2019 divorce)</t>
        </is>
      </c>
      <c r="D5" s="21">
        <f>Intake!C168</f>
        <v/>
      </c>
    </row>
    <row r="6">
      <c r="B6" s="30" t="inlineStr">
        <is>
          <t>3</t>
        </is>
      </c>
      <c r="C6" s="7" t="inlineStr">
        <is>
          <t>Business income or (loss) — Schedule C</t>
        </is>
      </c>
      <c r="D6" s="21">
        <f>'Schedule C'!D45</f>
        <v/>
      </c>
    </row>
    <row r="7">
      <c r="B7" s="30" t="inlineStr">
        <is>
          <t>4</t>
        </is>
      </c>
      <c r="C7" s="7" t="inlineStr">
        <is>
          <t>Other gains or (losses) — Form 4797</t>
        </is>
      </c>
      <c r="D7" s="14" t="n"/>
    </row>
    <row r="8">
      <c r="B8" s="30" t="inlineStr">
        <is>
          <t>5</t>
        </is>
      </c>
      <c r="C8" s="7" t="inlineStr">
        <is>
          <t>Rental real estate, royalties, partnerships, S corps — Schedule E</t>
        </is>
      </c>
      <c r="D8" s="21">
        <f>'Schedule E'!D50</f>
        <v/>
      </c>
    </row>
    <row r="9">
      <c r="B9" s="30" t="inlineStr">
        <is>
          <t>6</t>
        </is>
      </c>
      <c r="C9" s="7" t="inlineStr">
        <is>
          <t>Farm income or (loss) — Schedule F</t>
        </is>
      </c>
      <c r="D9" s="21">
        <f>Intake!C179</f>
        <v/>
      </c>
    </row>
    <row r="10">
      <c r="B10" s="30" t="inlineStr">
        <is>
          <t>7</t>
        </is>
      </c>
      <c r="C10" s="7" t="inlineStr">
        <is>
          <t>Unemployment compensation</t>
        </is>
      </c>
      <c r="D10" s="21">
        <f>Intake!C175</f>
        <v/>
      </c>
    </row>
    <row r="11">
      <c r="B11" s="30" t="inlineStr">
        <is>
          <t>8a</t>
        </is>
      </c>
      <c r="C11" s="7" t="inlineStr">
        <is>
          <t>Net operating loss</t>
        </is>
      </c>
      <c r="D11" s="14" t="n"/>
    </row>
    <row r="12">
      <c r="B12" s="30" t="inlineStr">
        <is>
          <t>8b</t>
        </is>
      </c>
      <c r="C12" s="7" t="inlineStr">
        <is>
          <t>Gambling income</t>
        </is>
      </c>
      <c r="D12" s="21">
        <f>Intake!C176</f>
        <v/>
      </c>
    </row>
    <row r="13">
      <c r="B13" s="30" t="inlineStr">
        <is>
          <t>8c</t>
        </is>
      </c>
      <c r="C13" s="7" t="inlineStr">
        <is>
          <t>Cancellation of debt</t>
        </is>
      </c>
      <c r="D13" s="14" t="n"/>
    </row>
    <row r="14">
      <c r="B14" s="30" t="inlineStr">
        <is>
          <t>8d</t>
        </is>
      </c>
      <c r="C14" s="7" t="inlineStr">
        <is>
          <t>Foreign earned income exclusion (Form 2555)</t>
        </is>
      </c>
      <c r="D14" s="14" t="n"/>
    </row>
    <row r="15">
      <c r="B15" s="30" t="inlineStr">
        <is>
          <t>8z</t>
        </is>
      </c>
      <c r="C15" s="7" t="inlineStr">
        <is>
          <t>Other income (list type and amount)</t>
        </is>
      </c>
      <c r="D15" s="21">
        <f>Intake!C178</f>
        <v/>
      </c>
    </row>
    <row r="16">
      <c r="B16" s="30" t="inlineStr">
        <is>
          <t>9</t>
        </is>
      </c>
      <c r="C16" s="7" t="inlineStr">
        <is>
          <t>Total other income (sum 8a through 8z)</t>
        </is>
      </c>
      <c r="D16" s="35">
        <f>SUM(D11:D15)</f>
        <v/>
      </c>
    </row>
    <row r="17">
      <c r="B17" s="30" t="inlineStr">
        <is>
          <t>10</t>
        </is>
      </c>
      <c r="C17" s="7" t="inlineStr">
        <is>
          <t>Total additional income (add lines 1 through 7 plus 9)</t>
        </is>
      </c>
      <c r="D17" s="16">
        <f>D4+D5+D6+D7+D8+D9+D10+D16</f>
        <v/>
      </c>
    </row>
    <row r="28">
      <c r="C28" s="3" t="inlineStr">
        <is>
          <t>Carried to Form 1040, Line 8</t>
        </is>
      </c>
    </row>
    <row r="30">
      <c r="B30" s="38" t="inlineStr">
        <is>
          <t>10</t>
        </is>
      </c>
      <c r="C30" s="22" t="inlineStr">
        <is>
          <t>Total additional income → Form 1040 Line 8</t>
        </is>
      </c>
      <c r="D30" s="16">
        <f>D17</f>
        <v/>
      </c>
    </row>
    <row r="32">
      <c r="B32" s="4" t="inlineStr">
        <is>
          <t>PART II — ADJUSTMENTS TO INCOME</t>
        </is>
      </c>
      <c r="C32" s="5" t="n"/>
      <c r="D32" s="6" t="n"/>
    </row>
    <row r="33">
      <c r="B33" s="30" t="inlineStr">
        <is>
          <t>11</t>
        </is>
      </c>
      <c r="C33" s="7" t="inlineStr">
        <is>
          <t>Educator expenses</t>
        </is>
      </c>
      <c r="D33" s="21">
        <f>Intake!C184</f>
        <v/>
      </c>
    </row>
    <row r="34">
      <c r="B34" s="30" t="inlineStr">
        <is>
          <t>12</t>
        </is>
      </c>
      <c r="C34" s="7" t="inlineStr">
        <is>
          <t>Business expenses (reservists, etc.)</t>
        </is>
      </c>
      <c r="D34" s="21">
        <f>Intake!C185</f>
        <v/>
      </c>
    </row>
    <row r="35">
      <c r="B35" s="30" t="inlineStr">
        <is>
          <t>13</t>
        </is>
      </c>
      <c r="C35" s="7" t="inlineStr">
        <is>
          <t>HSA deduction</t>
        </is>
      </c>
      <c r="D35" s="21">
        <f>Intake!C186</f>
        <v/>
      </c>
    </row>
    <row r="36">
      <c r="B36" s="30" t="inlineStr">
        <is>
          <t>14</t>
        </is>
      </c>
      <c r="C36" s="7" t="inlineStr">
        <is>
          <t>Moving expenses (military)</t>
        </is>
      </c>
      <c r="D36" s="21">
        <f>Intake!C187</f>
        <v/>
      </c>
    </row>
    <row r="37">
      <c r="B37" s="30" t="inlineStr">
        <is>
          <t>15</t>
        </is>
      </c>
      <c r="C37" s="7" t="inlineStr">
        <is>
          <t>Deductible part of self-employment tax</t>
        </is>
      </c>
      <c r="D37" s="21">
        <f>'Schedule SE'!D20</f>
        <v/>
      </c>
    </row>
    <row r="38">
      <c r="B38" s="30" t="inlineStr">
        <is>
          <t>16</t>
        </is>
      </c>
      <c r="C38" s="7" t="inlineStr">
        <is>
          <t>Self-employed SEP/SIMPLE/qualified plans</t>
        </is>
      </c>
      <c r="D38" s="21">
        <f>Intake!C189</f>
        <v/>
      </c>
    </row>
    <row r="39">
      <c r="B39" s="30" t="inlineStr">
        <is>
          <t>17</t>
        </is>
      </c>
      <c r="C39" s="7" t="inlineStr">
        <is>
          <t>Self-employed health insurance</t>
        </is>
      </c>
      <c r="D39" s="21">
        <f>Intake!C190</f>
        <v/>
      </c>
    </row>
    <row r="40">
      <c r="B40" s="30" t="inlineStr">
        <is>
          <t>18</t>
        </is>
      </c>
      <c r="C40" s="7" t="inlineStr">
        <is>
          <t>Penalty on early withdrawal of savings</t>
        </is>
      </c>
      <c r="D40" s="21">
        <f>Intake!C191</f>
        <v/>
      </c>
    </row>
    <row r="41">
      <c r="B41" s="30" t="inlineStr">
        <is>
          <t>19</t>
        </is>
      </c>
      <c r="C41" s="7" t="inlineStr">
        <is>
          <t>IRA deduction</t>
        </is>
      </c>
      <c r="D41" s="21">
        <f>Intake!C192</f>
        <v/>
      </c>
    </row>
    <row r="42">
      <c r="B42" s="30" t="inlineStr">
        <is>
          <t>20</t>
        </is>
      </c>
      <c r="C42" s="7" t="inlineStr">
        <is>
          <t>Student loan interest deduction</t>
        </is>
      </c>
      <c r="D42" s="21">
        <f>Intake!C193</f>
        <v/>
      </c>
    </row>
    <row r="43">
      <c r="B43" s="30" t="inlineStr">
        <is>
          <t>22</t>
        </is>
      </c>
      <c r="C43" s="7" t="inlineStr">
        <is>
          <t>Other adjustments</t>
        </is>
      </c>
      <c r="D43" s="21">
        <f>Intake!C197</f>
        <v/>
      </c>
    </row>
    <row r="44">
      <c r="B44" s="30" t="inlineStr">
        <is>
          <t>25</t>
        </is>
      </c>
      <c r="C44" s="7" t="inlineStr">
        <is>
          <t>Total Part II adjustments</t>
        </is>
      </c>
      <c r="D44" s="35">
        <f>SUM(D33:D43)</f>
        <v/>
      </c>
    </row>
    <row r="45">
      <c r="B45" s="30" t="inlineStr">
        <is>
          <t>26</t>
        </is>
      </c>
      <c r="C45" s="7" t="inlineStr">
        <is>
          <t>Total adjustments → Form 1040 Line 10</t>
        </is>
      </c>
      <c r="D45" s="16">
        <f>D44</f>
        <v/>
      </c>
    </row>
    <row r="60">
      <c r="B60" s="38" t="inlineStr">
        <is>
          <t>26</t>
        </is>
      </c>
      <c r="C60" s="22" t="inlineStr">
        <is>
          <t>Total adjustments to income → Form 1040 Line 10</t>
        </is>
      </c>
      <c r="D60" s="16">
        <f>D45</f>
        <v/>
      </c>
    </row>
  </sheetData>
  <mergeCells count="2">
    <mergeCell ref="B3:D3"/>
    <mergeCell ref="B32:D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B1:D2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5" customWidth="1" min="3" max="3"/>
    <col width="20" customWidth="1" min="4" max="4"/>
  </cols>
  <sheetData>
    <row r="1">
      <c r="B1" s="19" t="inlineStr">
        <is>
          <t>Schedule 2 — Additional Taxes</t>
        </is>
      </c>
    </row>
    <row r="3">
      <c r="B3" s="4" t="inlineStr">
        <is>
          <t>PART I — TAX</t>
        </is>
      </c>
      <c r="C3" s="5" t="n"/>
      <c r="D3" s="6" t="n"/>
    </row>
    <row r="4">
      <c r="B4" s="30" t="inlineStr">
        <is>
          <t>1</t>
        </is>
      </c>
      <c r="C4" s="7" t="inlineStr">
        <is>
          <t>AMT (Form 6251)</t>
        </is>
      </c>
      <c r="D4" s="14" t="n"/>
    </row>
    <row r="5">
      <c r="B5" s="30" t="inlineStr">
        <is>
          <t>2</t>
        </is>
      </c>
      <c r="C5" s="7" t="inlineStr">
        <is>
          <t>Excess premium tax credit repayment</t>
        </is>
      </c>
      <c r="D5" s="14" t="n"/>
    </row>
    <row r="6">
      <c r="B6" s="30" t="inlineStr">
        <is>
          <t>3</t>
        </is>
      </c>
      <c r="C6" s="24" t="inlineStr">
        <is>
          <t>Total (add lines 1 and 2) → Form 1040 Line 17</t>
        </is>
      </c>
      <c r="D6" s="16">
        <f>D4+D5</f>
        <v/>
      </c>
    </row>
    <row r="8">
      <c r="B8" s="4" t="inlineStr">
        <is>
          <t>PART II — OTHER TAXES</t>
        </is>
      </c>
      <c r="C8" s="5" t="n"/>
      <c r="D8" s="6" t="n"/>
    </row>
    <row r="9">
      <c r="B9" s="30" t="inlineStr">
        <is>
          <t>6</t>
        </is>
      </c>
      <c r="C9" s="7" t="inlineStr">
        <is>
          <t>Self-employment tax (Schedule SE)</t>
        </is>
      </c>
      <c r="D9" s="21">
        <f>'Schedule SE'!D18</f>
        <v/>
      </c>
    </row>
    <row r="10">
      <c r="B10" s="30" t="inlineStr">
        <is>
          <t>8</t>
        </is>
      </c>
      <c r="C10" s="7" t="inlineStr">
        <is>
          <t>Additional Medicare Tax (Form 8959)</t>
        </is>
      </c>
      <c r="D10" s="14" t="n"/>
    </row>
    <row r="11">
      <c r="B11" s="30" t="inlineStr">
        <is>
          <t>9</t>
        </is>
      </c>
      <c r="C11" s="7" t="inlineStr">
        <is>
          <t>Net investment income tax (Form 8960)</t>
        </is>
      </c>
      <c r="D11" s="14" t="n"/>
    </row>
    <row r="12">
      <c r="B12" s="30" t="inlineStr">
        <is>
          <t>10</t>
        </is>
      </c>
      <c r="C12" s="7" t="inlineStr">
        <is>
          <t>Uncollected SS/Medicare on tips</t>
        </is>
      </c>
      <c r="D12" s="14" t="n"/>
    </row>
    <row r="13">
      <c r="B13" s="30" t="inlineStr">
        <is>
          <t>11</t>
        </is>
      </c>
      <c r="C13" s="7" t="inlineStr">
        <is>
          <t>Additional tax on IRAs/retirement (10%)</t>
        </is>
      </c>
      <c r="D13" s="14" t="n"/>
    </row>
    <row r="14">
      <c r="B14" s="30" t="inlineStr">
        <is>
          <t>12</t>
        </is>
      </c>
      <c r="C14" s="7" t="inlineStr">
        <is>
          <t>Additional tax on HSA distributions</t>
        </is>
      </c>
      <c r="D14" s="14" t="n"/>
    </row>
    <row r="15">
      <c r="B15" s="30" t="inlineStr">
        <is>
          <t>17</t>
        </is>
      </c>
      <c r="C15" s="7" t="inlineStr">
        <is>
          <t>Total additional taxes (sum)</t>
        </is>
      </c>
      <c r="D15" s="35">
        <f>SUM(D9:D14)</f>
        <v/>
      </c>
    </row>
    <row r="16">
      <c r="B16" s="30" t="inlineStr">
        <is>
          <t>21</t>
        </is>
      </c>
      <c r="C16" s="7" t="inlineStr">
        <is>
          <t>Total Other Taxes → Form 1040 Line 21</t>
        </is>
      </c>
      <c r="D16" s="16">
        <f>D15</f>
        <v/>
      </c>
    </row>
    <row r="25">
      <c r="B25" s="38" t="inlineStr">
        <is>
          <t>21</t>
        </is>
      </c>
      <c r="C25" s="22" t="inlineStr">
        <is>
          <t>Schedule 2 Total → Form 1040</t>
        </is>
      </c>
      <c r="D25" s="16">
        <f>D16</f>
        <v/>
      </c>
    </row>
  </sheetData>
  <mergeCells count="2">
    <mergeCell ref="B3:D3"/>
    <mergeCell ref="B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B1:D2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5" customWidth="1" min="3" max="3"/>
    <col width="20" customWidth="1" min="4" max="4"/>
  </cols>
  <sheetData>
    <row r="1">
      <c r="B1" s="19" t="inlineStr">
        <is>
          <t>Schedule 3 — Additional Credits and Payments</t>
        </is>
      </c>
    </row>
    <row r="3">
      <c r="B3" s="4" t="inlineStr">
        <is>
          <t>PART I — NONREFUNDABLE CREDITS</t>
        </is>
      </c>
      <c r="C3" s="5" t="n"/>
      <c r="D3" s="6" t="n"/>
    </row>
    <row r="4">
      <c r="B4" s="30" t="inlineStr">
        <is>
          <t>1</t>
        </is>
      </c>
      <c r="C4" s="7" t="inlineStr">
        <is>
          <t>Foreign tax credit (Form 1116)</t>
        </is>
      </c>
      <c r="D4" s="21">
        <f>Intake!C217</f>
        <v/>
      </c>
    </row>
    <row r="5">
      <c r="B5" s="30" t="inlineStr">
        <is>
          <t>2</t>
        </is>
      </c>
      <c r="C5" s="7" t="inlineStr">
        <is>
          <t>Child and dependent care credit (Form 2441)</t>
        </is>
      </c>
      <c r="D5" s="21">
        <f>Intake!C218</f>
        <v/>
      </c>
    </row>
    <row r="6">
      <c r="B6" s="30" t="inlineStr">
        <is>
          <t>3</t>
        </is>
      </c>
      <c r="C6" s="7" t="inlineStr">
        <is>
          <t>Education credits (Form 8863)</t>
        </is>
      </c>
      <c r="D6" s="21">
        <f>Intake!C219+Intake!C220</f>
        <v/>
      </c>
    </row>
    <row r="7">
      <c r="B7" s="30" t="inlineStr">
        <is>
          <t>4</t>
        </is>
      </c>
      <c r="C7" s="7" t="inlineStr">
        <is>
          <t>Retirement savings credit (Form 8880)</t>
        </is>
      </c>
      <c r="D7" s="21">
        <f>Intake!C221</f>
        <v/>
      </c>
    </row>
    <row r="8">
      <c r="B8" s="30" t="inlineStr">
        <is>
          <t>5a</t>
        </is>
      </c>
      <c r="C8" s="7" t="inlineStr">
        <is>
          <t>Residential energy credit</t>
        </is>
      </c>
      <c r="D8" s="21">
        <f>Intake!C223</f>
        <v/>
      </c>
    </row>
    <row r="9">
      <c r="B9" s="30" t="inlineStr">
        <is>
          <t>5b</t>
        </is>
      </c>
      <c r="C9" s="7" t="inlineStr">
        <is>
          <t>EV credit</t>
        </is>
      </c>
      <c r="D9" s="21">
        <f>Intake!C224</f>
        <v/>
      </c>
    </row>
    <row r="10">
      <c r="B10" s="30" t="inlineStr">
        <is>
          <t>7</t>
        </is>
      </c>
      <c r="C10" s="7" t="inlineStr">
        <is>
          <t>Other nonrefundable credits</t>
        </is>
      </c>
      <c r="D10" s="21">
        <f>Intake!C225</f>
        <v/>
      </c>
    </row>
    <row r="11">
      <c r="B11" s="30" t="inlineStr">
        <is>
          <t>8</t>
        </is>
      </c>
      <c r="C11" s="7" t="inlineStr">
        <is>
          <t>Total nonrefundable credits → Form 1040 Line 19</t>
        </is>
      </c>
      <c r="D11" s="16">
        <f>SUM(D4:D10)</f>
        <v/>
      </c>
    </row>
    <row r="15">
      <c r="B15" s="38" t="inlineStr">
        <is>
          <t>8</t>
        </is>
      </c>
      <c r="C15" s="22" t="inlineStr">
        <is>
          <t>Total nonrefundable credits → Form 1040 Line 19</t>
        </is>
      </c>
      <c r="D15" s="16">
        <f>D11</f>
        <v/>
      </c>
    </row>
    <row r="17">
      <c r="B17" s="4" t="inlineStr">
        <is>
          <t>PART II — OTHER PAYMENTS AND REFUNDABLE CREDITS</t>
        </is>
      </c>
      <c r="C17" s="5" t="n"/>
      <c r="D17" s="6" t="n"/>
    </row>
    <row r="18">
      <c r="B18" s="30" t="inlineStr">
        <is>
          <t>9</t>
        </is>
      </c>
      <c r="C18" s="7" t="inlineStr">
        <is>
          <t>Net premium tax credit (Form 8962)</t>
        </is>
      </c>
      <c r="D18" s="21">
        <f>Intake!C228</f>
        <v/>
      </c>
    </row>
    <row r="19">
      <c r="B19" s="30" t="inlineStr">
        <is>
          <t>10</t>
        </is>
      </c>
      <c r="C19" s="7" t="inlineStr">
        <is>
          <t>Amount paid with extension</t>
        </is>
      </c>
      <c r="D19" s="21">
        <f>Intake!C239</f>
        <v/>
      </c>
    </row>
    <row r="20">
      <c r="B20" s="30" t="inlineStr">
        <is>
          <t>11</t>
        </is>
      </c>
      <c r="C20" s="7" t="inlineStr">
        <is>
          <t>Excess SS tax withheld</t>
        </is>
      </c>
      <c r="D20" s="21">
        <f>Intake!C240</f>
        <v/>
      </c>
    </row>
    <row r="21">
      <c r="B21" s="30" t="inlineStr">
        <is>
          <t>13</t>
        </is>
      </c>
      <c r="C21" s="7" t="inlineStr">
        <is>
          <t>Other refundable credits</t>
        </is>
      </c>
      <c r="D21" s="21">
        <f>Intake!C230</f>
        <v/>
      </c>
    </row>
    <row r="22">
      <c r="B22" s="30" t="inlineStr">
        <is>
          <t>15</t>
        </is>
      </c>
      <c r="C22" s="7" t="inlineStr">
        <is>
          <t>Total other payments → Form 1040</t>
        </is>
      </c>
      <c r="D22" s="16">
        <f>SUM(D18:D21)</f>
        <v/>
      </c>
    </row>
    <row r="25">
      <c r="B25" s="38" t="inlineStr">
        <is>
          <t>15</t>
        </is>
      </c>
      <c r="C25" s="22" t="inlineStr">
        <is>
          <t>Total other payments/refundable credits → Form 1040</t>
        </is>
      </c>
      <c r="D25" s="16">
        <f>D22</f>
        <v/>
      </c>
    </row>
  </sheetData>
  <mergeCells count="2">
    <mergeCell ref="B17:D17"/>
    <mergeCell ref="B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B1:D3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5" customWidth="1" min="3" max="3"/>
    <col width="20" customWidth="1" min="4" max="4"/>
  </cols>
  <sheetData>
    <row r="1">
      <c r="B1" s="19" t="inlineStr">
        <is>
          <t>Schedule A — Itemized Deductions</t>
        </is>
      </c>
    </row>
    <row r="3">
      <c r="B3" s="4" t="inlineStr">
        <is>
          <t>MEDICAL AND DENTAL EXPENSES</t>
        </is>
      </c>
      <c r="C3" s="5" t="n"/>
      <c r="D3" s="6" t="n"/>
    </row>
    <row r="4">
      <c r="B4" s="30" t="inlineStr">
        <is>
          <t>1</t>
        </is>
      </c>
      <c r="C4" s="7" t="inlineStr">
        <is>
          <t>Medical and dental expenses</t>
        </is>
      </c>
      <c r="D4" s="21">
        <f>Intake!C200</f>
        <v/>
      </c>
    </row>
    <row r="5">
      <c r="B5" s="30" t="inlineStr">
        <is>
          <t>2</t>
        </is>
      </c>
      <c r="C5" s="7" t="inlineStr">
        <is>
          <t>AGI</t>
        </is>
      </c>
      <c r="D5" s="21">
        <f>'Form 1040'!D25</f>
        <v/>
      </c>
    </row>
    <row r="6">
      <c r="B6" s="30" t="inlineStr">
        <is>
          <t>3</t>
        </is>
      </c>
      <c r="C6" s="7" t="inlineStr">
        <is>
          <t>7.5% of AGI threshold</t>
        </is>
      </c>
      <c r="D6" s="35">
        <f>D5*0.075</f>
        <v/>
      </c>
    </row>
    <row r="7">
      <c r="B7" s="30" t="inlineStr">
        <is>
          <t>4</t>
        </is>
      </c>
      <c r="C7" s="24" t="inlineStr">
        <is>
          <t>Deductible medical expenses (excess over 7.5% AGI)</t>
        </is>
      </c>
      <c r="D7" s="16">
        <f>MAX(0,D4-D6)</f>
        <v/>
      </c>
    </row>
    <row r="9">
      <c r="B9" s="4" t="inlineStr">
        <is>
          <t>TAXES YOU PAID</t>
        </is>
      </c>
      <c r="C9" s="5" t="n"/>
      <c r="D9" s="6" t="n"/>
    </row>
    <row r="10">
      <c r="B10" s="30" t="inlineStr">
        <is>
          <t>5a</t>
        </is>
      </c>
      <c r="C10" s="7" t="inlineStr">
        <is>
          <t>State/local income taxes OR sales taxes</t>
        </is>
      </c>
      <c r="D10" s="21">
        <f>MAX(Intake!C201,Intake!C202)</f>
        <v/>
      </c>
    </row>
    <row r="11">
      <c r="B11" s="30" t="inlineStr">
        <is>
          <t>5b</t>
        </is>
      </c>
      <c r="C11" s="7" t="inlineStr">
        <is>
          <t>Real estate taxes</t>
        </is>
      </c>
      <c r="D11" s="21">
        <f>Intake!C203</f>
        <v/>
      </c>
    </row>
    <row r="12">
      <c r="B12" s="30" t="inlineStr">
        <is>
          <t>5c</t>
        </is>
      </c>
      <c r="C12" s="7" t="inlineStr">
        <is>
          <t>Personal property taxes</t>
        </is>
      </c>
      <c r="D12" s="21">
        <f>Intake!C204</f>
        <v/>
      </c>
    </row>
    <row r="13">
      <c r="B13" s="30" t="inlineStr">
        <is>
          <t>5d</t>
        </is>
      </c>
      <c r="C13" s="24" t="inlineStr">
        <is>
          <t>Total SALT (capped at $10,000)</t>
        </is>
      </c>
      <c r="D13" s="16">
        <f>MIN(10000,D10+D11+D12)</f>
        <v/>
      </c>
    </row>
    <row r="15">
      <c r="B15" s="4" t="inlineStr">
        <is>
          <t>INTEREST YOU PAID</t>
        </is>
      </c>
      <c r="C15" s="5" t="n"/>
      <c r="D15" s="6" t="n"/>
    </row>
    <row r="16">
      <c r="B16" s="30" t="inlineStr">
        <is>
          <t>8a</t>
        </is>
      </c>
      <c r="C16" s="7" t="inlineStr">
        <is>
          <t>Home mortgage interest (Form 1098)</t>
        </is>
      </c>
      <c r="D16" s="21">
        <f>Intake!C206</f>
        <v/>
      </c>
    </row>
    <row r="17">
      <c r="B17" s="30" t="inlineStr">
        <is>
          <t>8d</t>
        </is>
      </c>
      <c r="C17" s="7" t="inlineStr">
        <is>
          <t>Mortgage insurance premiums</t>
        </is>
      </c>
      <c r="D17" s="21">
        <f>Intake!C207</f>
        <v/>
      </c>
    </row>
    <row r="18">
      <c r="B18" s="30" t="inlineStr">
        <is>
          <t>9</t>
        </is>
      </c>
      <c r="C18" s="7" t="inlineStr">
        <is>
          <t>Investment interest expense</t>
        </is>
      </c>
      <c r="D18" s="21">
        <f>Intake!C208</f>
        <v/>
      </c>
    </row>
    <row r="19">
      <c r="B19" s="30" t="inlineStr">
        <is>
          <t>10</t>
        </is>
      </c>
      <c r="C19" s="24" t="inlineStr">
        <is>
          <t>Total interest deduction</t>
        </is>
      </c>
      <c r="D19" s="16">
        <f>D16+D17+D18</f>
        <v/>
      </c>
    </row>
    <row r="21">
      <c r="B21" s="4" t="inlineStr">
        <is>
          <t>GIFTS TO CHARITY</t>
        </is>
      </c>
      <c r="C21" s="5" t="n"/>
      <c r="D21" s="6" t="n"/>
    </row>
    <row r="22">
      <c r="B22" s="30" t="inlineStr">
        <is>
          <t>11</t>
        </is>
      </c>
      <c r="C22" s="7" t="inlineStr">
        <is>
          <t>Cash contributions</t>
        </is>
      </c>
      <c r="D22" s="21">
        <f>Intake!C209</f>
        <v/>
      </c>
    </row>
    <row r="23">
      <c r="B23" s="30" t="inlineStr">
        <is>
          <t>12</t>
        </is>
      </c>
      <c r="C23" s="7" t="inlineStr">
        <is>
          <t>Noncash contributions</t>
        </is>
      </c>
      <c r="D23" s="21">
        <f>Intake!C210</f>
        <v/>
      </c>
    </row>
    <row r="24">
      <c r="B24" s="30" t="inlineStr">
        <is>
          <t>13</t>
        </is>
      </c>
      <c r="C24" s="7" t="inlineStr">
        <is>
          <t>Carryover from prior year</t>
        </is>
      </c>
      <c r="D24" s="21">
        <f>Intake!C211</f>
        <v/>
      </c>
    </row>
    <row r="25">
      <c r="B25" s="30" t="inlineStr">
        <is>
          <t>14</t>
        </is>
      </c>
      <c r="C25" s="24" t="inlineStr">
        <is>
          <t>Total charitable deduction</t>
        </is>
      </c>
      <c r="D25" s="16">
        <f>D22+D23+D24</f>
        <v/>
      </c>
    </row>
    <row r="27">
      <c r="B27" s="4" t="inlineStr">
        <is>
          <t>OTHER DEDUCTIONS</t>
        </is>
      </c>
      <c r="C27" s="5" t="n"/>
      <c r="D27" s="6" t="n"/>
    </row>
    <row r="28">
      <c r="B28" s="30" t="inlineStr">
        <is>
          <t>15</t>
        </is>
      </c>
      <c r="C28" s="7" t="inlineStr">
        <is>
          <t>Casualty/theft losses (federally declared disaster)</t>
        </is>
      </c>
      <c r="D28" s="21">
        <f>Intake!C212</f>
        <v/>
      </c>
    </row>
    <row r="29">
      <c r="B29" s="30" t="inlineStr">
        <is>
          <t>16</t>
        </is>
      </c>
      <c r="C29" s="7" t="inlineStr">
        <is>
          <t>Gambling losses (limited to winnings)</t>
        </is>
      </c>
      <c r="D29" s="21">
        <f>Intake!C213</f>
        <v/>
      </c>
    </row>
    <row r="30">
      <c r="B30" s="38" t="inlineStr">
        <is>
          <t>18</t>
        </is>
      </c>
      <c r="C30" s="22" t="inlineStr">
        <is>
          <t>TOTAL ITEMIZED DEDUCTIONS</t>
        </is>
      </c>
      <c r="D30" s="16">
        <f>D7+D13+D19+D25+D28+D29+D30</f>
        <v/>
      </c>
    </row>
  </sheetData>
  <mergeCells count="5">
    <mergeCell ref="B3:D3"/>
    <mergeCell ref="B9:D9"/>
    <mergeCell ref="B27:D27"/>
    <mergeCell ref="B21:D21"/>
    <mergeCell ref="B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0" customWidth="1" min="3" max="3"/>
    <col width="20" customWidth="1" min="4" max="4"/>
  </cols>
  <sheetData>
    <row r="1">
      <c r="B1" s="19" t="inlineStr">
        <is>
          <t>Schedule B — Interest and Ordinary Dividends</t>
        </is>
      </c>
    </row>
    <row r="3">
      <c r="B3" s="4" t="inlineStr">
        <is>
          <t>PART I — INTEREST (pulls from Intake Section 6)</t>
        </is>
      </c>
      <c r="C3" s="5" t="n"/>
      <c r="D3" s="6" t="n"/>
    </row>
    <row r="4">
      <c r="C4" s="3" t="inlineStr">
        <is>
          <t>See Intake tab for detailed 1099-INT entries</t>
        </is>
      </c>
    </row>
    <row r="5">
      <c r="B5" s="30" t="inlineStr">
        <is>
          <t>1</t>
        </is>
      </c>
      <c r="C5" s="7" t="inlineStr">
        <is>
          <t>Total interest income</t>
        </is>
      </c>
      <c r="D5" s="21">
        <f>Intake!D69</f>
        <v/>
      </c>
    </row>
    <row r="6">
      <c r="B6" s="30" t="inlineStr">
        <is>
          <t>4</t>
        </is>
      </c>
      <c r="C6" s="24" t="inlineStr">
        <is>
          <t>Taxable interest → Form 1040 Line 2b</t>
        </is>
      </c>
      <c r="D6" s="39">
        <f>Intake!D69</f>
        <v/>
      </c>
    </row>
    <row r="8">
      <c r="B8" s="4" t="inlineStr">
        <is>
          <t>PART II — ORDINARY DIVIDENDS (pulls from Intake Section 7)</t>
        </is>
      </c>
      <c r="C8" s="5" t="n"/>
      <c r="D8" s="6" t="n"/>
    </row>
    <row r="9">
      <c r="B9" s="30" t="inlineStr">
        <is>
          <t>5</t>
        </is>
      </c>
      <c r="C9" s="7" t="inlineStr">
        <is>
          <t>Total ordinary dividends</t>
        </is>
      </c>
      <c r="D9" s="21">
        <f>Intake!C82</f>
        <v/>
      </c>
    </row>
    <row r="10">
      <c r="B10" s="30" t="inlineStr">
        <is>
          <t>6</t>
        </is>
      </c>
      <c r="C10" s="24" t="inlineStr">
        <is>
          <t>Ordinary dividends → Form 1040 Line 3b</t>
        </is>
      </c>
      <c r="D10" s="39">
        <f>Intake!C82</f>
        <v/>
      </c>
    </row>
    <row r="12">
      <c r="B12" s="4" t="inlineStr">
        <is>
          <t>PART III — FOREIGN ACCOUNTS AND TRUSTS</t>
        </is>
      </c>
      <c r="C12" s="5" t="n"/>
      <c r="D12" s="6" t="n"/>
    </row>
    <row r="13">
      <c r="B13" s="30" t="inlineStr">
        <is>
          <t>7a</t>
        </is>
      </c>
      <c r="C13" s="7" t="inlineStr">
        <is>
          <t>Do you have foreign accounts or foreign trusts? (Y/N)</t>
        </is>
      </c>
      <c r="D13" s="28">
        <f>Intake!C245</f>
        <v/>
      </c>
    </row>
    <row r="14">
      <c r="B14" s="30" t="inlineStr">
        <is>
          <t>7b</t>
        </is>
      </c>
      <c r="C14" s="7" t="inlineStr">
        <is>
          <t>Country where accounts are located</t>
        </is>
      </c>
      <c r="D14" s="11" t="n"/>
    </row>
    <row r="15">
      <c r="B15" s="30" t="inlineStr">
        <is>
          <t>8</t>
        </is>
      </c>
      <c r="C15" s="7" t="inlineStr">
        <is>
          <t>Are you required to file FinCEN Form 114 (FBAR)? (Y/N)</t>
        </is>
      </c>
      <c r="D15" s="40">
        <f>IF(Intake!F247&gt;10000,"YES","NO")</f>
        <v/>
      </c>
    </row>
  </sheetData>
  <mergeCells count="3">
    <mergeCell ref="B12:D12"/>
    <mergeCell ref="B3:D3"/>
    <mergeCell ref="B8:D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B1:D45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5" customWidth="1" min="3" max="3"/>
    <col width="20" customWidth="1" min="4" max="4"/>
  </cols>
  <sheetData>
    <row r="1">
      <c r="B1" s="19" t="inlineStr">
        <is>
          <t>Schedule C — Profit or Loss from Business</t>
        </is>
      </c>
    </row>
    <row r="3">
      <c r="B3" s="4" t="inlineStr">
        <is>
          <t>BUSINESS INFORMATION</t>
        </is>
      </c>
      <c r="C3" s="5" t="n"/>
      <c r="D3" s="6" t="n"/>
    </row>
    <row r="4">
      <c r="B4" s="30" t="inlineStr">
        <is>
          <t>A</t>
        </is>
      </c>
      <c r="C4" s="7" t="inlineStr">
        <is>
          <t>Principal business or profession</t>
        </is>
      </c>
      <c r="D4" s="20">
        <f>Intake!C113</f>
        <v/>
      </c>
    </row>
    <row r="5">
      <c r="B5" s="30" t="inlineStr">
        <is>
          <t>B</t>
        </is>
      </c>
      <c r="C5" s="7" t="inlineStr">
        <is>
          <t>Business name</t>
        </is>
      </c>
      <c r="D5" s="20">
        <f>Intake!C111</f>
        <v/>
      </c>
    </row>
    <row r="6">
      <c r="B6" s="30" t="inlineStr">
        <is>
          <t>C</t>
        </is>
      </c>
      <c r="C6" s="7" t="inlineStr">
        <is>
          <t>Business EIN</t>
        </is>
      </c>
      <c r="D6" s="20">
        <f>Intake!C112</f>
        <v/>
      </c>
    </row>
    <row r="7">
      <c r="B7" s="30" t="inlineStr">
        <is>
          <t>D</t>
        </is>
      </c>
      <c r="C7" s="7" t="inlineStr">
        <is>
          <t>Business address</t>
        </is>
      </c>
      <c r="D7" s="20">
        <f>Intake!C114</f>
        <v/>
      </c>
    </row>
    <row r="8">
      <c r="B8" s="30" t="inlineStr">
        <is>
          <t>F</t>
        </is>
      </c>
      <c r="C8" s="7" t="inlineStr">
        <is>
          <t>Accounting method</t>
        </is>
      </c>
      <c r="D8" s="20">
        <f>Intake!C115</f>
        <v/>
      </c>
    </row>
    <row r="10">
      <c r="B10" s="4" t="inlineStr">
        <is>
          <t>INCOME</t>
        </is>
      </c>
      <c r="C10" s="5" t="n"/>
      <c r="D10" s="6" t="n"/>
    </row>
    <row r="11">
      <c r="B11" s="30" t="inlineStr">
        <is>
          <t>1</t>
        </is>
      </c>
      <c r="C11" s="7" t="inlineStr">
        <is>
          <t>Gross receipts or sales</t>
        </is>
      </c>
      <c r="D11" s="21">
        <f>Intake!C116</f>
        <v/>
      </c>
    </row>
    <row r="12">
      <c r="B12" s="30" t="inlineStr">
        <is>
          <t>2</t>
        </is>
      </c>
      <c r="C12" s="7" t="inlineStr">
        <is>
          <t>Returns and allowances</t>
        </is>
      </c>
      <c r="D12" s="21">
        <f>Intake!C117</f>
        <v/>
      </c>
    </row>
    <row r="13">
      <c r="B13" s="30" t="inlineStr">
        <is>
          <t>4</t>
        </is>
      </c>
      <c r="C13" s="7" t="inlineStr">
        <is>
          <t>Cost of goods sold</t>
        </is>
      </c>
      <c r="D13" s="21">
        <f>Intake!C118</f>
        <v/>
      </c>
    </row>
    <row r="14">
      <c r="B14" s="30" t="inlineStr">
        <is>
          <t>5</t>
        </is>
      </c>
      <c r="C14" s="24" t="inlineStr">
        <is>
          <t>Gross profit (Line 1 - 2 - 4)</t>
        </is>
      </c>
      <c r="D14" s="16">
        <f>D11-D12-D13</f>
        <v/>
      </c>
    </row>
    <row r="16">
      <c r="B16" s="4" t="inlineStr">
        <is>
          <t>EXPENSES</t>
        </is>
      </c>
      <c r="C16" s="5" t="n"/>
      <c r="D16" s="6" t="n"/>
    </row>
    <row r="17">
      <c r="B17" s="30" t="inlineStr">
        <is>
          <t>8</t>
        </is>
      </c>
      <c r="C17" s="7" t="inlineStr">
        <is>
          <t>Advertising</t>
        </is>
      </c>
      <c r="D17" s="21">
        <f>Intake!C119</f>
        <v/>
      </c>
    </row>
    <row r="18">
      <c r="B18" s="30" t="inlineStr">
        <is>
          <t>9</t>
        </is>
      </c>
      <c r="C18" s="7" t="inlineStr">
        <is>
          <t>Car and truck expenses</t>
        </is>
      </c>
      <c r="D18" s="21">
        <f>Intake!C120</f>
        <v/>
      </c>
    </row>
    <row r="19">
      <c r="B19" s="30" t="inlineStr">
        <is>
          <t>10</t>
        </is>
      </c>
      <c r="C19" s="7" t="inlineStr">
        <is>
          <t>Commissions and fees</t>
        </is>
      </c>
      <c r="D19" s="21">
        <f>Intake!C121</f>
        <v/>
      </c>
    </row>
    <row r="20">
      <c r="B20" s="30" t="inlineStr">
        <is>
          <t>11</t>
        </is>
      </c>
      <c r="C20" s="7" t="inlineStr">
        <is>
          <t>Contract labor</t>
        </is>
      </c>
      <c r="D20" s="21">
        <f>Intake!C122</f>
        <v/>
      </c>
    </row>
    <row r="21">
      <c r="B21" s="30" t="inlineStr">
        <is>
          <t>13</t>
        </is>
      </c>
      <c r="C21" s="7" t="inlineStr">
        <is>
          <t>Depreciation (Form 4562)</t>
        </is>
      </c>
      <c r="D21" s="21">
        <f>Intake!C123</f>
        <v/>
      </c>
    </row>
    <row r="22">
      <c r="B22" s="30" t="inlineStr">
        <is>
          <t>14</t>
        </is>
      </c>
      <c r="C22" s="7" t="inlineStr">
        <is>
          <t>Employee benefit programs</t>
        </is>
      </c>
      <c r="D22" s="21">
        <f>Intake!C124</f>
        <v/>
      </c>
    </row>
    <row r="23">
      <c r="B23" s="30" t="inlineStr">
        <is>
          <t>15</t>
        </is>
      </c>
      <c r="C23" s="7" t="inlineStr">
        <is>
          <t>Insurance (other than health)</t>
        </is>
      </c>
      <c r="D23" s="21">
        <f>Intake!C125</f>
        <v/>
      </c>
    </row>
    <row r="24">
      <c r="B24" s="30" t="inlineStr">
        <is>
          <t>16a</t>
        </is>
      </c>
      <c r="C24" s="7" t="inlineStr">
        <is>
          <t>Mortgage interest</t>
        </is>
      </c>
      <c r="D24" s="21">
        <f>Intake!C126</f>
        <v/>
      </c>
    </row>
    <row r="25">
      <c r="B25" s="30" t="inlineStr">
        <is>
          <t>16b</t>
        </is>
      </c>
      <c r="C25" s="7" t="inlineStr">
        <is>
          <t>Other interest</t>
        </is>
      </c>
      <c r="D25" s="21">
        <f>Intake!C127</f>
        <v/>
      </c>
    </row>
    <row r="26">
      <c r="B26" s="30" t="inlineStr">
        <is>
          <t>17</t>
        </is>
      </c>
      <c r="C26" s="7" t="inlineStr">
        <is>
          <t>Legal and professional services</t>
        </is>
      </c>
      <c r="D26" s="21">
        <f>Intake!C128</f>
        <v/>
      </c>
    </row>
    <row r="27">
      <c r="B27" s="30" t="inlineStr">
        <is>
          <t>18</t>
        </is>
      </c>
      <c r="C27" s="7" t="inlineStr">
        <is>
          <t>Office expense</t>
        </is>
      </c>
      <c r="D27" s="21">
        <f>Intake!C129</f>
        <v/>
      </c>
    </row>
    <row r="28">
      <c r="B28" s="30" t="inlineStr">
        <is>
          <t>20a</t>
        </is>
      </c>
      <c r="C28" s="7" t="inlineStr">
        <is>
          <t>Rent — vehicles/machinery</t>
        </is>
      </c>
      <c r="D28" s="21">
        <f>Intake!C130</f>
        <v/>
      </c>
    </row>
    <row r="29">
      <c r="B29" s="30" t="inlineStr">
        <is>
          <t>20b</t>
        </is>
      </c>
      <c r="C29" s="7" t="inlineStr">
        <is>
          <t>Rent — other</t>
        </is>
      </c>
      <c r="D29" s="21">
        <f>Intake!C131</f>
        <v/>
      </c>
    </row>
    <row r="30">
      <c r="B30" s="30" t="inlineStr">
        <is>
          <t>21</t>
        </is>
      </c>
      <c r="C30" s="7" t="inlineStr">
        <is>
          <t>Repairs and maintenance</t>
        </is>
      </c>
      <c r="D30" s="21">
        <f>Intake!C132</f>
        <v/>
      </c>
    </row>
    <row r="31">
      <c r="B31" s="30" t="inlineStr">
        <is>
          <t>22</t>
        </is>
      </c>
      <c r="C31" s="7" t="inlineStr">
        <is>
          <t>Supplies</t>
        </is>
      </c>
      <c r="D31" s="21">
        <f>Intake!C133</f>
        <v/>
      </c>
    </row>
    <row r="32">
      <c r="B32" s="30" t="inlineStr">
        <is>
          <t>23</t>
        </is>
      </c>
      <c r="C32" s="7" t="inlineStr">
        <is>
          <t>Taxes and licenses</t>
        </is>
      </c>
      <c r="D32" s="21">
        <f>Intake!C134</f>
        <v/>
      </c>
    </row>
    <row r="33">
      <c r="B33" s="30" t="inlineStr">
        <is>
          <t>24a</t>
        </is>
      </c>
      <c r="C33" s="7" t="inlineStr">
        <is>
          <t>Travel</t>
        </is>
      </c>
      <c r="D33" s="21">
        <f>Intake!C135</f>
        <v/>
      </c>
    </row>
    <row r="34">
      <c r="B34" s="30" t="inlineStr">
        <is>
          <t>24b</t>
        </is>
      </c>
      <c r="C34" s="7" t="inlineStr">
        <is>
          <t>Meals (50% deductible)</t>
        </is>
      </c>
      <c r="D34" s="21">
        <f>Intake!C136</f>
        <v/>
      </c>
    </row>
    <row r="35">
      <c r="B35" s="30" t="inlineStr">
        <is>
          <t>25</t>
        </is>
      </c>
      <c r="C35" s="7" t="inlineStr">
        <is>
          <t>Utilities</t>
        </is>
      </c>
      <c r="D35" s="21">
        <f>Intake!C137</f>
        <v/>
      </c>
    </row>
    <row r="36">
      <c r="B36" s="30" t="inlineStr">
        <is>
          <t>26</t>
        </is>
      </c>
      <c r="C36" s="7" t="inlineStr">
        <is>
          <t>Wages</t>
        </is>
      </c>
      <c r="D36" s="21">
        <f>Intake!C138</f>
        <v/>
      </c>
    </row>
    <row r="37">
      <c r="B37" s="30" t="inlineStr">
        <is>
          <t>27a</t>
        </is>
      </c>
      <c r="C37" s="7" t="inlineStr">
        <is>
          <t>Other expenses</t>
        </is>
      </c>
      <c r="D37" s="21">
        <f>Intake!C140</f>
        <v/>
      </c>
    </row>
    <row r="38">
      <c r="B38" s="30" t="inlineStr">
        <is>
          <t>28</t>
        </is>
      </c>
      <c r="C38" s="24" t="inlineStr">
        <is>
          <t>Total expenses</t>
        </is>
      </c>
      <c r="D38" s="16">
        <f>SUM(D17:D37)</f>
        <v/>
      </c>
    </row>
    <row r="39">
      <c r="B39" s="30" t="inlineStr">
        <is>
          <t>29</t>
        </is>
      </c>
      <c r="C39" s="7" t="inlineStr">
        <is>
          <t>Tentative profit (loss)</t>
        </is>
      </c>
      <c r="D39" s="35">
        <f>D14-D38</f>
        <v/>
      </c>
    </row>
    <row r="40">
      <c r="B40" s="30" t="inlineStr">
        <is>
          <t>30</t>
        </is>
      </c>
      <c r="C40" s="7" t="inlineStr">
        <is>
          <t>Business use of home (Form 8829)</t>
        </is>
      </c>
      <c r="D40" s="21">
        <f>Intake!C141</f>
        <v/>
      </c>
    </row>
    <row r="45">
      <c r="B45" s="38" t="inlineStr">
        <is>
          <t>31</t>
        </is>
      </c>
      <c r="C45" s="22" t="inlineStr">
        <is>
          <t>NET PROFIT (LOSS) → Schedule 1 Line 3</t>
        </is>
      </c>
      <c r="D45" s="16">
        <f>D39-D40</f>
        <v/>
      </c>
    </row>
  </sheetData>
  <mergeCells count="3">
    <mergeCell ref="B10:D10"/>
    <mergeCell ref="B3:D3"/>
    <mergeCell ref="B16:D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B1:D5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5" customWidth="1" min="3" max="3"/>
    <col width="20" customWidth="1" min="4" max="4"/>
  </cols>
  <sheetData>
    <row r="1">
      <c r="B1" s="19" t="inlineStr">
        <is>
          <t>Schedule D — Capital Gains and Losses</t>
        </is>
      </c>
    </row>
    <row r="3">
      <c r="B3" s="4" t="inlineStr">
        <is>
          <t>PART I — SHORT-TERM CAPITAL GAINS AND LOSSES</t>
        </is>
      </c>
      <c r="C3" s="5" t="n"/>
      <c r="D3" s="6" t="n"/>
    </row>
    <row r="4">
      <c r="B4" s="30" t="inlineStr">
        <is>
          <t>7</t>
        </is>
      </c>
      <c r="C4" s="7" t="inlineStr">
        <is>
          <t>Net short-term gain (loss) from Form 8949</t>
        </is>
      </c>
      <c r="D4" s="21">
        <f>'Form 8949'!D30</f>
        <v/>
      </c>
    </row>
    <row r="5">
      <c r="B5" s="30" t="inlineStr">
        <is>
          <t>8</t>
        </is>
      </c>
      <c r="C5" s="7" t="inlineStr">
        <is>
          <t>Short-term gain from K-1s and other forms</t>
        </is>
      </c>
      <c r="D5" s="14" t="n"/>
    </row>
    <row r="6">
      <c r="B6" s="30" t="inlineStr">
        <is>
          <t>9</t>
        </is>
      </c>
      <c r="C6" s="7" t="inlineStr">
        <is>
          <t>Short-term capital loss carryover</t>
        </is>
      </c>
      <c r="D6" s="14" t="n"/>
    </row>
    <row r="7">
      <c r="B7" s="30" t="inlineStr">
        <is>
          <t>10</t>
        </is>
      </c>
      <c r="C7" s="24" t="inlineStr">
        <is>
          <t>Net short-term capital gain (loss)</t>
        </is>
      </c>
      <c r="D7" s="16">
        <f>D4+D5+D6</f>
        <v/>
      </c>
    </row>
    <row r="9">
      <c r="B9" s="4" t="inlineStr">
        <is>
          <t>PART II — LONG-TERM CAPITAL GAINS AND LOSSES</t>
        </is>
      </c>
      <c r="C9" s="5" t="n"/>
      <c r="D9" s="6" t="n"/>
    </row>
    <row r="10">
      <c r="B10" s="30" t="inlineStr">
        <is>
          <t>15</t>
        </is>
      </c>
      <c r="C10" s="7" t="inlineStr">
        <is>
          <t>Net long-term gain (loss) from Form 8949</t>
        </is>
      </c>
      <c r="D10" s="21">
        <f>'Form 8949'!D60</f>
        <v/>
      </c>
    </row>
    <row r="11">
      <c r="B11" s="30" t="inlineStr">
        <is>
          <t>16</t>
        </is>
      </c>
      <c r="C11" s="7" t="inlineStr">
        <is>
          <t>Long-term gain from K-1s and Form 1099-DIV cap gain dist</t>
        </is>
      </c>
      <c r="D11" s="14" t="n"/>
    </row>
    <row r="12">
      <c r="B12" s="30" t="inlineStr">
        <is>
          <t>17</t>
        </is>
      </c>
      <c r="C12" s="7" t="inlineStr">
        <is>
          <t>Long-term capital loss carryover</t>
        </is>
      </c>
      <c r="D12" s="14" t="n"/>
    </row>
    <row r="13">
      <c r="B13" s="30" t="inlineStr">
        <is>
          <t>18</t>
        </is>
      </c>
      <c r="C13" s="24" t="inlineStr">
        <is>
          <t>Net long-term capital gain (loss)</t>
        </is>
      </c>
      <c r="D13" s="16">
        <f>D10+D11+D12</f>
        <v/>
      </c>
    </row>
    <row r="15">
      <c r="B15" s="4" t="inlineStr">
        <is>
          <t>PART III — SUMMARY</t>
        </is>
      </c>
      <c r="C15" s="5" t="n"/>
      <c r="D15" s="6" t="n"/>
    </row>
    <row r="16">
      <c r="B16" s="30" t="inlineStr">
        <is>
          <t>19</t>
        </is>
      </c>
      <c r="C16" s="7" t="inlineStr">
        <is>
          <t>Combine lines 10 and 18</t>
        </is>
      </c>
      <c r="D16" s="35">
        <f>D7+D13</f>
        <v/>
      </c>
    </row>
    <row r="17">
      <c r="B17" s="30" t="inlineStr">
        <is>
          <t>20</t>
        </is>
      </c>
      <c r="C17" s="7" t="inlineStr">
        <is>
          <t>Capital loss limitation ($3,000 max or $1,500 MFS)</t>
        </is>
      </c>
      <c r="D17" s="35">
        <f>IF(D16&lt;0,MAX(D16,-3000),D16)</f>
        <v/>
      </c>
    </row>
    <row r="48">
      <c r="B48" s="30" t="inlineStr"/>
      <c r="C48" s="7" t="inlineStr">
        <is>
          <t>Net LTCG (for Tax Computation)</t>
        </is>
      </c>
      <c r="D48" s="35">
        <f>MAX(0,D13)</f>
        <v/>
      </c>
    </row>
    <row r="50">
      <c r="B50" s="38" t="inlineStr">
        <is>
          <t>21</t>
        </is>
      </c>
      <c r="C50" s="22" t="inlineStr">
        <is>
          <t>NET CAPITAL GAIN (LOSS) → Form 1040 Line 7</t>
        </is>
      </c>
      <c r="D50" s="16">
        <f>D17</f>
        <v/>
      </c>
    </row>
  </sheetData>
  <mergeCells count="3">
    <mergeCell ref="B15:D15"/>
    <mergeCell ref="B9:D9"/>
    <mergeCell ref="B3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6600"/>
    <outlinePr summaryBelow="1" summaryRight="1"/>
    <pageSetUpPr/>
  </sheetPr>
  <dimension ref="B1:G6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8" customWidth="1" min="4" max="4"/>
    <col width="18" customWidth="1" min="5" max="5"/>
    <col width="18" customWidth="1" min="6" max="6"/>
    <col width="15" customWidth="1" min="7" max="7"/>
  </cols>
  <sheetData>
    <row r="1">
      <c r="B1" s="19" t="inlineStr">
        <is>
          <t>Form 8949 — Sales and Other Dispositions of Capital Assets</t>
        </is>
      </c>
    </row>
    <row r="3">
      <c r="B3" s="4" t="inlineStr">
        <is>
          <t>PART I — SHORT-TERM (held one year or less)</t>
        </is>
      </c>
      <c r="C3" s="5" t="n"/>
      <c r="D3" s="5" t="n"/>
      <c r="E3" s="5" t="n"/>
      <c r="F3" s="5" t="n"/>
      <c r="G3" s="6" t="n"/>
    </row>
    <row r="4">
      <c r="B4" s="29" t="inlineStr">
        <is>
          <t>Description</t>
        </is>
      </c>
      <c r="C4" s="29" t="inlineStr">
        <is>
          <t>Date Acquired</t>
        </is>
      </c>
      <c r="D4" s="29" t="inlineStr">
        <is>
          <t>Date Sold</t>
        </is>
      </c>
      <c r="E4" s="29" t="inlineStr">
        <is>
          <t>Proceeds</t>
        </is>
      </c>
      <c r="F4" s="29" t="inlineStr">
        <is>
          <t>Cost Basis</t>
        </is>
      </c>
      <c r="G4" s="29" t="inlineStr">
        <is>
          <t>Gain/(Loss)</t>
        </is>
      </c>
    </row>
    <row r="5">
      <c r="B5" s="11" t="n"/>
      <c r="C5" s="41" t="n"/>
      <c r="D5" s="41" t="n"/>
      <c r="E5" s="14" t="n"/>
      <c r="F5" s="14" t="n"/>
      <c r="G5" s="35">
        <f>IF(OR(E5="",F5=""),"",E5-F5)</f>
        <v/>
      </c>
    </row>
    <row r="6">
      <c r="B6" s="11" t="n"/>
      <c r="C6" s="41" t="n"/>
      <c r="D6" s="41" t="n"/>
      <c r="E6" s="14" t="n"/>
      <c r="F6" s="14" t="n"/>
      <c r="G6" s="35">
        <f>IF(OR(E6="",F6=""),"",E6-F6)</f>
        <v/>
      </c>
    </row>
    <row r="7">
      <c r="B7" s="11" t="n"/>
      <c r="C7" s="41" t="n"/>
      <c r="D7" s="41" t="n"/>
      <c r="E7" s="14" t="n"/>
      <c r="F7" s="14" t="n"/>
      <c r="G7" s="35">
        <f>IF(OR(E7="",F7=""),"",E7-F7)</f>
        <v/>
      </c>
    </row>
    <row r="8">
      <c r="B8" s="11" t="n"/>
      <c r="C8" s="41" t="n"/>
      <c r="D8" s="41" t="n"/>
      <c r="E8" s="14" t="n"/>
      <c r="F8" s="14" t="n"/>
      <c r="G8" s="35">
        <f>IF(OR(E8="",F8=""),"",E8-F8)</f>
        <v/>
      </c>
    </row>
    <row r="9">
      <c r="B9" s="11" t="n"/>
      <c r="C9" s="41" t="n"/>
      <c r="D9" s="41" t="n"/>
      <c r="E9" s="14" t="n"/>
      <c r="F9" s="14" t="n"/>
      <c r="G9" s="35">
        <f>IF(OR(E9="",F9=""),"",E9-F9)</f>
        <v/>
      </c>
    </row>
    <row r="10">
      <c r="B10" s="11" t="n"/>
      <c r="C10" s="41" t="n"/>
      <c r="D10" s="41" t="n"/>
      <c r="E10" s="14" t="n"/>
      <c r="F10" s="14" t="n"/>
      <c r="G10" s="35">
        <f>IF(OR(E10="",F10=""),"",E10-F10)</f>
        <v/>
      </c>
    </row>
    <row r="11">
      <c r="B11" s="11" t="n"/>
      <c r="C11" s="41" t="n"/>
      <c r="D11" s="41" t="n"/>
      <c r="E11" s="14" t="n"/>
      <c r="F11" s="14" t="n"/>
      <c r="G11" s="35">
        <f>IF(OR(E11="",F11=""),"",E11-F11)</f>
        <v/>
      </c>
    </row>
    <row r="12">
      <c r="B12" s="11" t="n"/>
      <c r="C12" s="41" t="n"/>
      <c r="D12" s="41" t="n"/>
      <c r="E12" s="14" t="n"/>
      <c r="F12" s="14" t="n"/>
      <c r="G12" s="35">
        <f>IF(OR(E12="",F12=""),"",E12-F12)</f>
        <v/>
      </c>
    </row>
    <row r="13">
      <c r="B13" s="11" t="n"/>
      <c r="C13" s="41" t="n"/>
      <c r="D13" s="41" t="n"/>
      <c r="E13" s="14" t="n"/>
      <c r="F13" s="14" t="n"/>
      <c r="G13" s="35">
        <f>IF(OR(E13="",F13=""),"",E13-F13)</f>
        <v/>
      </c>
    </row>
    <row r="14">
      <c r="B14" s="11" t="n"/>
      <c r="C14" s="41" t="n"/>
      <c r="D14" s="41" t="n"/>
      <c r="E14" s="14" t="n"/>
      <c r="F14" s="14" t="n"/>
      <c r="G14" s="35">
        <f>IF(OR(E14="",F14=""),"",E14-F14)</f>
        <v/>
      </c>
    </row>
    <row r="15">
      <c r="B15" s="11" t="n"/>
      <c r="C15" s="41" t="n"/>
      <c r="D15" s="41" t="n"/>
      <c r="E15" s="14" t="n"/>
      <c r="F15" s="14" t="n"/>
      <c r="G15" s="35">
        <f>IF(OR(E15="",F15=""),"",E15-F15)</f>
        <v/>
      </c>
    </row>
    <row r="16">
      <c r="B16" s="11" t="n"/>
      <c r="C16" s="41" t="n"/>
      <c r="D16" s="41" t="n"/>
      <c r="E16" s="14" t="n"/>
      <c r="F16" s="14" t="n"/>
      <c r="G16" s="35">
        <f>IF(OR(E16="",F16=""),"",E16-F16)</f>
        <v/>
      </c>
    </row>
    <row r="17">
      <c r="B17" s="11" t="n"/>
      <c r="C17" s="41" t="n"/>
      <c r="D17" s="41" t="n"/>
      <c r="E17" s="14" t="n"/>
      <c r="F17" s="14" t="n"/>
      <c r="G17" s="35">
        <f>IF(OR(E17="",F17=""),"",E17-F17)</f>
        <v/>
      </c>
    </row>
    <row r="18">
      <c r="B18" s="11" t="n"/>
      <c r="C18" s="41" t="n"/>
      <c r="D18" s="41" t="n"/>
      <c r="E18" s="14" t="n"/>
      <c r="F18" s="14" t="n"/>
      <c r="G18" s="35">
        <f>IF(OR(E18="",F18=""),"",E18-F18)</f>
        <v/>
      </c>
    </row>
    <row r="19">
      <c r="B19" s="11" t="n"/>
      <c r="C19" s="41" t="n"/>
      <c r="D19" s="41" t="n"/>
      <c r="E19" s="14" t="n"/>
      <c r="F19" s="14" t="n"/>
      <c r="G19" s="35">
        <f>IF(OR(E19="",F19=""),"",E19-F19)</f>
        <v/>
      </c>
    </row>
    <row r="29">
      <c r="B29" s="15" t="inlineStr">
        <is>
          <t>Total Short-Term</t>
        </is>
      </c>
      <c r="E29" s="16">
        <f>SUM(E5:E19)</f>
        <v/>
      </c>
      <c r="F29" s="16">
        <f>SUM(F5:F19)</f>
        <v/>
      </c>
    </row>
    <row r="30">
      <c r="B30" s="15" t="inlineStr">
        <is>
          <t>Net Short-Term Gain/(Loss) → Schedule D</t>
        </is>
      </c>
      <c r="D30" s="16">
        <f>SUM(G5:G19)</f>
        <v/>
      </c>
    </row>
    <row r="32">
      <c r="B32" s="4" t="inlineStr">
        <is>
          <t>PART II — LONG-TERM (held more than one year)</t>
        </is>
      </c>
      <c r="C32" s="5" t="n"/>
      <c r="D32" s="5" t="n"/>
      <c r="E32" s="5" t="n"/>
      <c r="F32" s="5" t="n"/>
      <c r="G32" s="6" t="n"/>
    </row>
    <row r="33">
      <c r="B33" s="29" t="inlineStr">
        <is>
          <t>Description</t>
        </is>
      </c>
      <c r="C33" s="29" t="inlineStr">
        <is>
          <t>Date Acquired</t>
        </is>
      </c>
      <c r="D33" s="29" t="inlineStr">
        <is>
          <t>Date Sold</t>
        </is>
      </c>
      <c r="E33" s="29" t="inlineStr">
        <is>
          <t>Proceeds</t>
        </is>
      </c>
      <c r="F33" s="29" t="inlineStr">
        <is>
          <t>Cost Basis</t>
        </is>
      </c>
      <c r="G33" s="29" t="inlineStr">
        <is>
          <t>Gain/(Loss)</t>
        </is>
      </c>
    </row>
    <row r="34">
      <c r="B34" s="11" t="n"/>
      <c r="C34" s="41" t="n"/>
      <c r="D34" s="41" t="n"/>
      <c r="E34" s="14" t="n"/>
      <c r="F34" s="14" t="n"/>
      <c r="G34" s="35">
        <f>IF(OR(E34="",F34=""),"",E34-F34)</f>
        <v/>
      </c>
    </row>
    <row r="35">
      <c r="B35" s="11" t="n"/>
      <c r="C35" s="41" t="n"/>
      <c r="D35" s="41" t="n"/>
      <c r="E35" s="14" t="n"/>
      <c r="F35" s="14" t="n"/>
      <c r="G35" s="35">
        <f>IF(OR(E35="",F35=""),"",E35-F35)</f>
        <v/>
      </c>
    </row>
    <row r="36">
      <c r="B36" s="11" t="n"/>
      <c r="C36" s="41" t="n"/>
      <c r="D36" s="41" t="n"/>
      <c r="E36" s="14" t="n"/>
      <c r="F36" s="14" t="n"/>
      <c r="G36" s="35">
        <f>IF(OR(E36="",F36=""),"",E36-F36)</f>
        <v/>
      </c>
    </row>
    <row r="37">
      <c r="B37" s="11" t="n"/>
      <c r="C37" s="41" t="n"/>
      <c r="D37" s="41" t="n"/>
      <c r="E37" s="14" t="n"/>
      <c r="F37" s="14" t="n"/>
      <c r="G37" s="35">
        <f>IF(OR(E37="",F37=""),"",E37-F37)</f>
        <v/>
      </c>
    </row>
    <row r="38">
      <c r="B38" s="11" t="n"/>
      <c r="C38" s="41" t="n"/>
      <c r="D38" s="41" t="n"/>
      <c r="E38" s="14" t="n"/>
      <c r="F38" s="14" t="n"/>
      <c r="G38" s="35">
        <f>IF(OR(E38="",F38=""),"",E38-F38)</f>
        <v/>
      </c>
    </row>
    <row r="39">
      <c r="B39" s="11" t="n"/>
      <c r="C39" s="41" t="n"/>
      <c r="D39" s="41" t="n"/>
      <c r="E39" s="14" t="n"/>
      <c r="F39" s="14" t="n"/>
      <c r="G39" s="35">
        <f>IF(OR(E39="",F39=""),"",E39-F39)</f>
        <v/>
      </c>
    </row>
    <row r="40">
      <c r="B40" s="11" t="n"/>
      <c r="C40" s="41" t="n"/>
      <c r="D40" s="41" t="n"/>
      <c r="E40" s="14" t="n"/>
      <c r="F40" s="14" t="n"/>
      <c r="G40" s="35">
        <f>IF(OR(E40="",F40=""),"",E40-F40)</f>
        <v/>
      </c>
    </row>
    <row r="41">
      <c r="B41" s="11" t="n"/>
      <c r="C41" s="41" t="n"/>
      <c r="D41" s="41" t="n"/>
      <c r="E41" s="14" t="n"/>
      <c r="F41" s="14" t="n"/>
      <c r="G41" s="35">
        <f>IF(OR(E41="",F41=""),"",E41-F41)</f>
        <v/>
      </c>
    </row>
    <row r="42">
      <c r="B42" s="11" t="n"/>
      <c r="C42" s="41" t="n"/>
      <c r="D42" s="41" t="n"/>
      <c r="E42" s="14" t="n"/>
      <c r="F42" s="14" t="n"/>
      <c r="G42" s="35">
        <f>IF(OR(E42="",F42=""),"",E42-F42)</f>
        <v/>
      </c>
    </row>
    <row r="43">
      <c r="B43" s="11" t="n"/>
      <c r="C43" s="41" t="n"/>
      <c r="D43" s="41" t="n"/>
      <c r="E43" s="14" t="n"/>
      <c r="F43" s="14" t="n"/>
      <c r="G43" s="35">
        <f>IF(OR(E43="",F43=""),"",E43-F43)</f>
        <v/>
      </c>
    </row>
    <row r="44">
      <c r="B44" s="11" t="n"/>
      <c r="C44" s="41" t="n"/>
      <c r="D44" s="41" t="n"/>
      <c r="E44" s="14" t="n"/>
      <c r="F44" s="14" t="n"/>
      <c r="G44" s="35">
        <f>IF(OR(E44="",F44=""),"",E44-F44)</f>
        <v/>
      </c>
    </row>
    <row r="45">
      <c r="B45" s="11" t="n"/>
      <c r="C45" s="41" t="n"/>
      <c r="D45" s="41" t="n"/>
      <c r="E45" s="14" t="n"/>
      <c r="F45" s="14" t="n"/>
      <c r="G45" s="35">
        <f>IF(OR(E45="",F45=""),"",E45-F45)</f>
        <v/>
      </c>
    </row>
    <row r="46">
      <c r="B46" s="11" t="n"/>
      <c r="C46" s="41" t="n"/>
      <c r="D46" s="41" t="n"/>
      <c r="E46" s="14" t="n"/>
      <c r="F46" s="14" t="n"/>
      <c r="G46" s="35">
        <f>IF(OR(E46="",F46=""),"",E46-F46)</f>
        <v/>
      </c>
    </row>
    <row r="47">
      <c r="B47" s="11" t="n"/>
      <c r="C47" s="41" t="n"/>
      <c r="D47" s="41" t="n"/>
      <c r="E47" s="14" t="n"/>
      <c r="F47" s="14" t="n"/>
      <c r="G47" s="35">
        <f>IF(OR(E47="",F47=""),"",E47-F47)</f>
        <v/>
      </c>
    </row>
    <row r="48">
      <c r="B48" s="11" t="n"/>
      <c r="C48" s="41" t="n"/>
      <c r="D48" s="41" t="n"/>
      <c r="E48" s="14" t="n"/>
      <c r="F48" s="14" t="n"/>
      <c r="G48" s="35">
        <f>IF(OR(E48="",F48=""),"",E48-F48)</f>
        <v/>
      </c>
    </row>
    <row r="59">
      <c r="B59" s="15" t="inlineStr">
        <is>
          <t>Total Long-Term</t>
        </is>
      </c>
      <c r="E59" s="16">
        <f>SUM(E34:E48)</f>
        <v/>
      </c>
      <c r="F59" s="16">
        <f>SUM(F34:F48)</f>
        <v/>
      </c>
    </row>
    <row r="60">
      <c r="B60" s="15" t="inlineStr">
        <is>
          <t>Net Long-Term Gain/(Loss) → Schedule D</t>
        </is>
      </c>
      <c r="D60" s="16">
        <f>SUM(G34:G48)</f>
        <v/>
      </c>
    </row>
  </sheetData>
  <mergeCells count="2">
    <mergeCell ref="B3:G3"/>
    <mergeCell ref="B32:G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B0F0"/>
    <outlinePr summaryBelow="1" summaryRight="1"/>
    <pageSetUpPr/>
  </sheetPr>
  <dimension ref="B1:F5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18" customWidth="1" min="4" max="4"/>
    <col width="18" customWidth="1" min="5" max="5"/>
    <col width="18" customWidth="1" min="6" max="6"/>
  </cols>
  <sheetData>
    <row r="1">
      <c r="B1" s="19" t="inlineStr">
        <is>
          <t>Schedule E — Supplemental Income and Loss</t>
        </is>
      </c>
    </row>
    <row r="3">
      <c r="B3" s="4" t="inlineStr">
        <is>
          <t>PART I — RENTAL REAL ESTATE AND ROYALTIES</t>
        </is>
      </c>
      <c r="C3" s="5" t="n"/>
      <c r="D3" s="5" t="n"/>
      <c r="E3" s="5" t="n"/>
      <c r="F3" s="6" t="n"/>
    </row>
    <row r="4">
      <c r="C4" s="29" t="inlineStr">
        <is>
          <t>Item</t>
        </is>
      </c>
      <c r="D4" s="29" t="inlineStr">
        <is>
          <t>Property 1</t>
        </is>
      </c>
      <c r="E4" s="29" t="inlineStr">
        <is>
          <t>Property 2</t>
        </is>
      </c>
      <c r="F4" s="29" t="inlineStr">
        <is>
          <t>Property 3</t>
        </is>
      </c>
    </row>
    <row r="5">
      <c r="B5" s="30" t="inlineStr">
        <is>
          <t>3</t>
        </is>
      </c>
      <c r="C5" s="7" t="inlineStr">
        <is>
          <t>Rents received</t>
        </is>
      </c>
      <c r="D5" s="21">
        <f>Intake!C149</f>
        <v/>
      </c>
      <c r="E5" s="21">
        <f>Intake!D149</f>
        <v/>
      </c>
      <c r="F5" s="21">
        <f>Intake!E149</f>
        <v/>
      </c>
    </row>
    <row r="6">
      <c r="B6" s="30" t="inlineStr">
        <is>
          <t>5</t>
        </is>
      </c>
      <c r="C6" s="7" t="inlineStr">
        <is>
          <t>Advertising</t>
        </is>
      </c>
      <c r="D6" s="21">
        <f>Intake!C150</f>
        <v/>
      </c>
      <c r="E6" s="21">
        <f>Intake!D150</f>
        <v/>
      </c>
      <c r="F6" s="21">
        <f>Intake!E150</f>
        <v/>
      </c>
    </row>
    <row r="7">
      <c r="B7" s="30" t="inlineStr">
        <is>
          <t>6</t>
        </is>
      </c>
      <c r="C7" s="7" t="inlineStr">
        <is>
          <t>Auto and travel</t>
        </is>
      </c>
      <c r="D7" s="21">
        <f>Intake!C151</f>
        <v/>
      </c>
      <c r="E7" s="21">
        <f>Intake!D151</f>
        <v/>
      </c>
      <c r="F7" s="21">
        <f>Intake!E151</f>
        <v/>
      </c>
    </row>
    <row r="8">
      <c r="B8" s="30" t="inlineStr">
        <is>
          <t>7</t>
        </is>
      </c>
      <c r="C8" s="7" t="inlineStr">
        <is>
          <t>Cleaning and maintenance</t>
        </is>
      </c>
      <c r="D8" s="21">
        <f>Intake!C152</f>
        <v/>
      </c>
      <c r="E8" s="21">
        <f>Intake!D152</f>
        <v/>
      </c>
      <c r="F8" s="21">
        <f>Intake!E152</f>
        <v/>
      </c>
    </row>
    <row r="9">
      <c r="B9" s="30" t="inlineStr">
        <is>
          <t>8</t>
        </is>
      </c>
      <c r="C9" s="7" t="inlineStr">
        <is>
          <t>Commissions</t>
        </is>
      </c>
      <c r="D9" s="21">
        <f>Intake!C153</f>
        <v/>
      </c>
      <c r="E9" s="21">
        <f>Intake!D153</f>
        <v/>
      </c>
      <c r="F9" s="21">
        <f>Intake!E153</f>
        <v/>
      </c>
    </row>
    <row r="10">
      <c r="B10" s="30" t="inlineStr">
        <is>
          <t>9</t>
        </is>
      </c>
      <c r="C10" s="7" t="inlineStr">
        <is>
          <t>Insurance</t>
        </is>
      </c>
      <c r="D10" s="21">
        <f>Intake!C154</f>
        <v/>
      </c>
      <c r="E10" s="21">
        <f>Intake!D154</f>
        <v/>
      </c>
      <c r="F10" s="21">
        <f>Intake!E154</f>
        <v/>
      </c>
    </row>
    <row r="11">
      <c r="B11" s="30" t="inlineStr">
        <is>
          <t>10</t>
        </is>
      </c>
      <c r="C11" s="7" t="inlineStr">
        <is>
          <t>Legal and professional</t>
        </is>
      </c>
      <c r="D11" s="21">
        <f>Intake!C155</f>
        <v/>
      </c>
      <c r="E11" s="21">
        <f>Intake!D155</f>
        <v/>
      </c>
      <c r="F11" s="21">
        <f>Intake!E155</f>
        <v/>
      </c>
    </row>
    <row r="12">
      <c r="B12" s="30" t="inlineStr">
        <is>
          <t>11</t>
        </is>
      </c>
      <c r="C12" s="7" t="inlineStr">
        <is>
          <t>Management fees</t>
        </is>
      </c>
      <c r="D12" s="21">
        <f>Intake!C156</f>
        <v/>
      </c>
      <c r="E12" s="21">
        <f>Intake!D156</f>
        <v/>
      </c>
      <c r="F12" s="21">
        <f>Intake!E156</f>
        <v/>
      </c>
    </row>
    <row r="13">
      <c r="B13" s="30" t="inlineStr">
        <is>
          <t>12</t>
        </is>
      </c>
      <c r="C13" s="7" t="inlineStr">
        <is>
          <t>Mortgage interest</t>
        </is>
      </c>
      <c r="D13" s="21">
        <f>Intake!C157</f>
        <v/>
      </c>
      <c r="E13" s="21">
        <f>Intake!D157</f>
        <v/>
      </c>
      <c r="F13" s="21">
        <f>Intake!E157</f>
        <v/>
      </c>
    </row>
    <row r="14">
      <c r="B14" s="30" t="inlineStr">
        <is>
          <t>13</t>
        </is>
      </c>
      <c r="C14" s="7" t="inlineStr">
        <is>
          <t>Other interest</t>
        </is>
      </c>
      <c r="D14" s="21">
        <f>Intake!C158</f>
        <v/>
      </c>
      <c r="E14" s="21">
        <f>Intake!D158</f>
        <v/>
      </c>
      <c r="F14" s="21">
        <f>Intake!E158</f>
        <v/>
      </c>
    </row>
    <row r="15">
      <c r="B15" s="30" t="inlineStr">
        <is>
          <t>14</t>
        </is>
      </c>
      <c r="C15" s="7" t="inlineStr">
        <is>
          <t>Repairs</t>
        </is>
      </c>
      <c r="D15" s="21">
        <f>Intake!C159</f>
        <v/>
      </c>
      <c r="E15" s="21">
        <f>Intake!D159</f>
        <v/>
      </c>
      <c r="F15" s="21">
        <f>Intake!E159</f>
        <v/>
      </c>
    </row>
    <row r="16">
      <c r="B16" s="30" t="inlineStr">
        <is>
          <t>15</t>
        </is>
      </c>
      <c r="C16" s="7" t="inlineStr">
        <is>
          <t>Supplies</t>
        </is>
      </c>
      <c r="D16" s="21">
        <f>Intake!C160</f>
        <v/>
      </c>
      <c r="E16" s="21">
        <f>Intake!D160</f>
        <v/>
      </c>
      <c r="F16" s="21">
        <f>Intake!E160</f>
        <v/>
      </c>
    </row>
    <row r="17">
      <c r="B17" s="30" t="inlineStr">
        <is>
          <t>16</t>
        </is>
      </c>
      <c r="C17" s="7" t="inlineStr">
        <is>
          <t>Taxes</t>
        </is>
      </c>
      <c r="D17" s="21">
        <f>Intake!C161</f>
        <v/>
      </c>
      <c r="E17" s="21">
        <f>Intake!D161</f>
        <v/>
      </c>
      <c r="F17" s="21">
        <f>Intake!E161</f>
        <v/>
      </c>
    </row>
    <row r="18">
      <c r="B18" s="30" t="inlineStr">
        <is>
          <t>17</t>
        </is>
      </c>
      <c r="C18" s="7" t="inlineStr">
        <is>
          <t>Utilities</t>
        </is>
      </c>
      <c r="D18" s="21">
        <f>Intake!C162</f>
        <v/>
      </c>
      <c r="E18" s="21">
        <f>Intake!D162</f>
        <v/>
      </c>
      <c r="F18" s="21">
        <f>Intake!E162</f>
        <v/>
      </c>
    </row>
    <row r="19">
      <c r="B19" s="30" t="inlineStr">
        <is>
          <t>18</t>
        </is>
      </c>
      <c r="C19" s="7" t="inlineStr">
        <is>
          <t>Depreciation</t>
        </is>
      </c>
      <c r="D19" s="21">
        <f>Intake!C163</f>
        <v/>
      </c>
      <c r="E19" s="21">
        <f>Intake!D163</f>
        <v/>
      </c>
      <c r="F19" s="21">
        <f>Intake!E163</f>
        <v/>
      </c>
    </row>
    <row r="20">
      <c r="B20" s="30" t="inlineStr">
        <is>
          <t>19</t>
        </is>
      </c>
      <c r="C20" s="7" t="inlineStr">
        <is>
          <t>Other</t>
        </is>
      </c>
      <c r="D20" s="21">
        <f>Intake!C164</f>
        <v/>
      </c>
      <c r="E20" s="21">
        <f>Intake!D164</f>
        <v/>
      </c>
      <c r="F20" s="21">
        <f>Intake!E164</f>
        <v/>
      </c>
    </row>
    <row r="22">
      <c r="B22" s="30" t="inlineStr">
        <is>
          <t>20</t>
        </is>
      </c>
      <c r="C22" s="24" t="inlineStr">
        <is>
          <t>Total expenses</t>
        </is>
      </c>
      <c r="D22" s="16">
        <f>SUM(D6:D20)</f>
        <v/>
      </c>
      <c r="E22" s="16">
        <f>SUM(E6:E20)</f>
        <v/>
      </c>
      <c r="F22" s="16">
        <f>SUM(F6:F20)</f>
        <v/>
      </c>
    </row>
    <row r="23">
      <c r="B23" s="30" t="inlineStr">
        <is>
          <t>21</t>
        </is>
      </c>
      <c r="C23" s="7" t="inlineStr">
        <is>
          <t>Net rental income (loss) per property</t>
        </is>
      </c>
      <c r="D23" s="35">
        <f>D5-D22</f>
        <v/>
      </c>
      <c r="E23" s="35">
        <f>E5-E22</f>
        <v/>
      </c>
      <c r="F23" s="35">
        <f>F5-F22</f>
        <v/>
      </c>
    </row>
    <row r="25">
      <c r="B25" s="4" t="inlineStr">
        <is>
          <t>PART II — INCOME FROM PARTNERSHIPS AND S CORPORATIONS</t>
        </is>
      </c>
      <c r="C25" s="5" t="n"/>
      <c r="D25" s="5" t="n"/>
      <c r="E25" s="5" t="n"/>
      <c r="F25" s="6" t="n"/>
    </row>
    <row r="26">
      <c r="C26" s="3" t="inlineStr">
        <is>
          <t>See Intake Section 19 for K-1 details</t>
        </is>
      </c>
    </row>
    <row r="27">
      <c r="B27" s="30" t="inlineStr">
        <is>
          <t>32</t>
        </is>
      </c>
      <c r="C27" s="7" t="inlineStr">
        <is>
          <t>Total K-1 ordinary income</t>
        </is>
      </c>
      <c r="D27" s="21">
        <f>SUM(Intake!E282:E286)</f>
        <v/>
      </c>
    </row>
    <row r="28">
      <c r="B28" s="30" t="inlineStr">
        <is>
          <t>33</t>
        </is>
      </c>
      <c r="C28" s="7" t="inlineStr">
        <is>
          <t>Total K-1 rental income</t>
        </is>
      </c>
      <c r="D28" s="21">
        <f>SUM(Intake!F282:F286)</f>
        <v/>
      </c>
    </row>
    <row r="50">
      <c r="B50" s="38" t="inlineStr">
        <is>
          <t>41</t>
        </is>
      </c>
      <c r="C50" s="22" t="inlineStr">
        <is>
          <t>TOTAL SCH E INCOME (LOSS) → Schedule 1</t>
        </is>
      </c>
      <c r="D50" s="16">
        <f>D23+E23+F23+D27+D28</f>
        <v/>
      </c>
    </row>
  </sheetData>
  <mergeCells count="2">
    <mergeCell ref="B25:F25"/>
    <mergeCell ref="B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DC3E6"/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5" customWidth="1" min="3" max="3"/>
    <col width="20" customWidth="1" min="4" max="4"/>
  </cols>
  <sheetData>
    <row r="1">
      <c r="B1" s="19" t="inlineStr">
        <is>
          <t>Schedule SE — Self-Employment Tax</t>
        </is>
      </c>
    </row>
    <row r="3">
      <c r="B3" s="4" t="inlineStr">
        <is>
          <t>SELF-EMPLOYMENT TAX CALCULATION</t>
        </is>
      </c>
      <c r="C3" s="5" t="n"/>
      <c r="D3" s="6" t="n"/>
    </row>
    <row r="4">
      <c r="B4" s="30" t="inlineStr">
        <is>
          <t>1</t>
        </is>
      </c>
      <c r="C4" s="7" t="inlineStr">
        <is>
          <t>Net farm profit (loss) — Schedule F</t>
        </is>
      </c>
      <c r="D4" s="14" t="n"/>
    </row>
    <row r="5">
      <c r="B5" s="30" t="inlineStr">
        <is>
          <t>2</t>
        </is>
      </c>
      <c r="C5" s="7" t="inlineStr">
        <is>
          <t>Net profit (loss) from Schedule C</t>
        </is>
      </c>
      <c r="D5" s="21">
        <f>'Schedule C'!D45</f>
        <v/>
      </c>
    </row>
    <row r="6">
      <c r="B6" s="30" t="inlineStr">
        <is>
          <t>3</t>
        </is>
      </c>
      <c r="C6" s="7" t="inlineStr">
        <is>
          <t>Combined (lines 1 + 2)</t>
        </is>
      </c>
      <c r="D6" s="35">
        <f>D4+D5</f>
        <v/>
      </c>
    </row>
    <row r="7">
      <c r="B7" s="30" t="inlineStr">
        <is>
          <t>4</t>
        </is>
      </c>
      <c r="C7" s="7" t="inlineStr">
        <is>
          <t>92.35% of line 3 (net earnings subject to SE tax)</t>
        </is>
      </c>
      <c r="D7" s="35">
        <f>D6*0.9235</f>
        <v/>
      </c>
    </row>
    <row r="8">
      <c r="B8" s="30" t="inlineStr">
        <is>
          <t>5</t>
        </is>
      </c>
      <c r="C8" s="7" t="inlineStr">
        <is>
          <t>Social Security wage base limit ($176,100)</t>
        </is>
      </c>
      <c r="D8" s="33" t="n">
        <v>176100</v>
      </c>
    </row>
    <row r="9">
      <c r="B9" s="30" t="inlineStr">
        <is>
          <t>6</t>
        </is>
      </c>
      <c r="C9" s="7" t="inlineStr">
        <is>
          <t>W-2 Social Security wages (reduces SE base)</t>
        </is>
      </c>
      <c r="D9" s="21">
        <f>Intake!D57</f>
        <v/>
      </c>
    </row>
    <row r="10">
      <c r="B10" s="30" t="inlineStr">
        <is>
          <t>7</t>
        </is>
      </c>
      <c r="C10" s="7" t="inlineStr">
        <is>
          <t>Remaining SS wage room</t>
        </is>
      </c>
      <c r="D10" s="35">
        <f>MAX(0,D8-D9)</f>
        <v/>
      </c>
    </row>
    <row r="11">
      <c r="B11" s="30" t="inlineStr">
        <is>
          <t>8</t>
        </is>
      </c>
      <c r="C11" s="7" t="inlineStr">
        <is>
          <t>Social Security portion (12.4% on lesser of net earnings or room)</t>
        </is>
      </c>
      <c r="D11" s="35">
        <f>MIN(D7,D10)*0.124</f>
        <v/>
      </c>
    </row>
    <row r="12">
      <c r="B12" s="30" t="inlineStr">
        <is>
          <t>9</t>
        </is>
      </c>
      <c r="C12" s="7" t="inlineStr">
        <is>
          <t>Medicare portion (2.9% on all net earnings)</t>
        </is>
      </c>
      <c r="D12" s="35">
        <f>D7*0.029</f>
        <v/>
      </c>
    </row>
    <row r="13">
      <c r="B13" s="38" t="inlineStr">
        <is>
          <t>10</t>
        </is>
      </c>
      <c r="C13" s="22" t="inlineStr">
        <is>
          <t>TOTAL SELF-EMPLOYMENT TAX → Schedule 2</t>
        </is>
      </c>
      <c r="D13" s="16">
        <f>D11+D12</f>
        <v/>
      </c>
    </row>
    <row r="18">
      <c r="B18" s="38" t="inlineStr"/>
      <c r="C18" s="22" t="inlineStr">
        <is>
          <t>Self-Employment Tax (output row)</t>
        </is>
      </c>
      <c r="D18" s="16">
        <f>D13</f>
        <v/>
      </c>
    </row>
    <row r="20">
      <c r="B20" s="38" t="inlineStr">
        <is>
          <t>11</t>
        </is>
      </c>
      <c r="C20" s="22" t="inlineStr">
        <is>
          <t>Deductible part of SE tax (50%) → Schedule 1</t>
        </is>
      </c>
      <c r="D20" s="16">
        <f>D13*0.5</f>
        <v/>
      </c>
    </row>
  </sheetData>
  <mergeCells count="1">
    <mergeCell ref="B3:D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B1:F29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5" customWidth="1" min="3" max="3"/>
    <col width="20" customWidth="1" min="4" max="4"/>
    <col width="20" customWidth="1" min="5" max="5"/>
    <col width="20" customWidth="1" min="6" max="6"/>
  </cols>
  <sheetData>
    <row r="1">
      <c r="B1" s="19" t="inlineStr">
        <is>
          <t>Form 8938 — Statement of Specified Foreign Financial Assets</t>
        </is>
      </c>
    </row>
    <row r="3">
      <c r="B3" s="4" t="inlineStr">
        <is>
          <t>FILING THRESHOLD DETERMINATION</t>
        </is>
      </c>
      <c r="C3" s="5" t="n"/>
      <c r="D3" s="5" t="n"/>
      <c r="E3" s="5" t="n"/>
      <c r="F3" s="6" t="n"/>
    </row>
    <row r="4">
      <c r="C4" s="7" t="inlineStr">
        <is>
          <t>Filing Status</t>
        </is>
      </c>
      <c r="D4" s="28">
        <f>Intake!C6</f>
        <v/>
      </c>
    </row>
    <row r="5">
      <c r="C5" s="7" t="inlineStr">
        <is>
          <t>Taxpayer lives abroad? (Y/N)</t>
        </is>
      </c>
      <c r="D5" s="42" t="n"/>
    </row>
    <row r="6">
      <c r="C6" s="7" t="inlineStr">
        <is>
          <t>Maximum aggregate value during year</t>
        </is>
      </c>
      <c r="D6" s="21">
        <f>Intake!F247</f>
        <v/>
      </c>
    </row>
    <row r="7">
      <c r="C7" s="7" t="inlineStr">
        <is>
          <t>Year-end aggregate value</t>
        </is>
      </c>
      <c r="D7" s="21">
        <f>SUM(Intake!G250:G259)</f>
        <v/>
      </c>
    </row>
    <row r="8">
      <c r="C8" s="7" t="inlineStr">
        <is>
          <t>Filing threshold (year-end)</t>
        </is>
      </c>
      <c r="D8" s="35">
        <f>IF(D5="Y",IF(OR(D4=1,D4=3),200000,IF(D4=2,400000,200000)),IF(OR(D4=1,D4=3),50000,IF(D4=2,100000,50000)))</f>
        <v/>
      </c>
    </row>
    <row r="9">
      <c r="C9" s="7" t="inlineStr">
        <is>
          <t>Filing threshold (any time during year)</t>
        </is>
      </c>
      <c r="D9" s="35">
        <f>IF(D5="Y",IF(OR(D4=1,D4=3),300000,IF(D4=2,600000,300000)),IF(OR(D4=1,D4=3),75000,IF(D4=2,150000,75000)))</f>
        <v/>
      </c>
    </row>
    <row r="10">
      <c r="C10" s="22" t="inlineStr">
        <is>
          <t>FORM 8938 REQUIRED?</t>
        </is>
      </c>
      <c r="D10" s="43">
        <f>IF(OR(D7&gt;D8,D6&gt;D9),"YES - FILING REQUIRED","NO")</f>
        <v/>
      </c>
    </row>
    <row r="12">
      <c r="B12" s="4" t="inlineStr">
        <is>
          <t>PART I — FOREIGN DEPOSIT AND CUSTODIAL ACCOUNTS</t>
        </is>
      </c>
      <c r="C12" s="5" t="n"/>
      <c r="D12" s="5" t="n"/>
      <c r="E12" s="5" t="n"/>
      <c r="F12" s="6" t="n"/>
    </row>
    <row r="13">
      <c r="C13" s="3" t="inlineStr">
        <is>
          <t>(Pulls from Intake Section 16)</t>
        </is>
      </c>
    </row>
    <row r="14">
      <c r="B14" s="29" t="inlineStr">
        <is>
          <t>Account Type</t>
        </is>
      </c>
      <c r="C14" s="29" t="inlineStr">
        <is>
          <t>Institution</t>
        </is>
      </c>
      <c r="D14" s="29" t="inlineStr">
        <is>
          <t>Country</t>
        </is>
      </c>
      <c r="E14" s="29" t="inlineStr">
        <is>
          <t>Max Value</t>
        </is>
      </c>
      <c r="F14" s="29" t="inlineStr">
        <is>
          <t>Year-End Value</t>
        </is>
      </c>
    </row>
    <row r="15">
      <c r="B15" s="20">
        <f>Intake!B250</f>
        <v/>
      </c>
      <c r="C15" s="20">
        <f>Intake!C250</f>
        <v/>
      </c>
      <c r="D15" s="20">
        <f>Intake!D250</f>
        <v/>
      </c>
      <c r="E15" s="21">
        <f>Intake!F250</f>
        <v/>
      </c>
      <c r="F15" s="21">
        <f>Intake!G250</f>
        <v/>
      </c>
    </row>
    <row r="16">
      <c r="B16" s="20">
        <f>Intake!B251</f>
        <v/>
      </c>
      <c r="C16" s="20">
        <f>Intake!C251</f>
        <v/>
      </c>
      <c r="D16" s="20">
        <f>Intake!D251</f>
        <v/>
      </c>
      <c r="E16" s="21">
        <f>Intake!F251</f>
        <v/>
      </c>
      <c r="F16" s="21">
        <f>Intake!G251</f>
        <v/>
      </c>
    </row>
    <row r="17">
      <c r="B17" s="20">
        <f>Intake!B252</f>
        <v/>
      </c>
      <c r="C17" s="20">
        <f>Intake!C252</f>
        <v/>
      </c>
      <c r="D17" s="20">
        <f>Intake!D252</f>
        <v/>
      </c>
      <c r="E17" s="21">
        <f>Intake!F252</f>
        <v/>
      </c>
      <c r="F17" s="21">
        <f>Intake!G252</f>
        <v/>
      </c>
    </row>
    <row r="18">
      <c r="B18" s="20">
        <f>Intake!B253</f>
        <v/>
      </c>
      <c r="C18" s="20">
        <f>Intake!C253</f>
        <v/>
      </c>
      <c r="D18" s="20">
        <f>Intake!D253</f>
        <v/>
      </c>
      <c r="E18" s="21">
        <f>Intake!F253</f>
        <v/>
      </c>
      <c r="F18" s="21">
        <f>Intake!G253</f>
        <v/>
      </c>
    </row>
    <row r="19">
      <c r="B19" s="20">
        <f>Intake!B254</f>
        <v/>
      </c>
      <c r="C19" s="20">
        <f>Intake!C254</f>
        <v/>
      </c>
      <c r="D19" s="20">
        <f>Intake!D254</f>
        <v/>
      </c>
      <c r="E19" s="21">
        <f>Intake!F254</f>
        <v/>
      </c>
      <c r="F19" s="21">
        <f>Intake!G254</f>
        <v/>
      </c>
    </row>
    <row r="20">
      <c r="B20" s="20">
        <f>Intake!B255</f>
        <v/>
      </c>
      <c r="C20" s="20">
        <f>Intake!C255</f>
        <v/>
      </c>
      <c r="D20" s="20">
        <f>Intake!D255</f>
        <v/>
      </c>
      <c r="E20" s="21">
        <f>Intake!F255</f>
        <v/>
      </c>
      <c r="F20" s="21">
        <f>Intake!G255</f>
        <v/>
      </c>
    </row>
    <row r="21">
      <c r="B21" s="20">
        <f>Intake!B256</f>
        <v/>
      </c>
      <c r="C21" s="20">
        <f>Intake!C256</f>
        <v/>
      </c>
      <c r="D21" s="20">
        <f>Intake!D256</f>
        <v/>
      </c>
      <c r="E21" s="21">
        <f>Intake!F256</f>
        <v/>
      </c>
      <c r="F21" s="21">
        <f>Intake!G256</f>
        <v/>
      </c>
    </row>
    <row r="22">
      <c r="B22" s="20">
        <f>Intake!B257</f>
        <v/>
      </c>
      <c r="C22" s="20">
        <f>Intake!C257</f>
        <v/>
      </c>
      <c r="D22" s="20">
        <f>Intake!D257</f>
        <v/>
      </c>
      <c r="E22" s="21">
        <f>Intake!F257</f>
        <v/>
      </c>
      <c r="F22" s="21">
        <f>Intake!G257</f>
        <v/>
      </c>
    </row>
    <row r="23">
      <c r="B23" s="20">
        <f>Intake!B258</f>
        <v/>
      </c>
      <c r="C23" s="20">
        <f>Intake!C258</f>
        <v/>
      </c>
      <c r="D23" s="20">
        <f>Intake!D258</f>
        <v/>
      </c>
      <c r="E23" s="21">
        <f>Intake!F258</f>
        <v/>
      </c>
      <c r="F23" s="21">
        <f>Intake!G258</f>
        <v/>
      </c>
    </row>
    <row r="24">
      <c r="B24" s="20">
        <f>Intake!B259</f>
        <v/>
      </c>
      <c r="C24" s="20">
        <f>Intake!C259</f>
        <v/>
      </c>
      <c r="D24" s="20">
        <f>Intake!D259</f>
        <v/>
      </c>
      <c r="E24" s="21">
        <f>Intake!F259</f>
        <v/>
      </c>
      <c r="F24" s="21">
        <f>Intake!G259</f>
        <v/>
      </c>
    </row>
    <row r="26">
      <c r="B26" s="4" t="inlineStr">
        <is>
          <t>PART IV — SUMMARY OF TAX ITEMS</t>
        </is>
      </c>
      <c r="C26" s="5" t="n"/>
      <c r="D26" s="5" t="n"/>
      <c r="E26" s="5" t="n"/>
      <c r="F26" s="6" t="n"/>
    </row>
    <row r="27">
      <c r="C27" s="7" t="inlineStr">
        <is>
          <t>Total interest from foreign accounts</t>
        </is>
      </c>
      <c r="D27" s="21">
        <f>SUM(Intake!H250:H259)</f>
        <v/>
      </c>
    </row>
    <row r="28">
      <c r="C28" s="7" t="inlineStr">
        <is>
          <t>Total dividends from foreign accounts</t>
        </is>
      </c>
      <c r="D28" s="14" t="n"/>
    </row>
    <row r="29">
      <c r="C29" s="7" t="inlineStr">
        <is>
          <t>Total gains from foreign accounts</t>
        </is>
      </c>
      <c r="D29" s="14" t="n"/>
    </row>
  </sheetData>
  <mergeCells count="3">
    <mergeCell ref="B12:F12"/>
    <mergeCell ref="B3:F3"/>
    <mergeCell ref="B26:F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/>
  </sheetPr>
  <dimension ref="B1:E18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0" customWidth="1" min="3" max="3"/>
    <col width="20" customWidth="1" min="4" max="4"/>
    <col width="20" customWidth="1" min="5" max="5"/>
  </cols>
  <sheetData>
    <row r="1">
      <c r="B1" s="19" t="inlineStr">
        <is>
          <t>Form 8621 — Information Return by a Shareholder of a PFIC</t>
        </is>
      </c>
    </row>
    <row r="3">
      <c r="B3" s="4" t="inlineStr">
        <is>
          <t>PFIC INFORMATION (from Intake Section 18)</t>
        </is>
      </c>
      <c r="C3" s="5" t="n"/>
      <c r="D3" s="5" t="n"/>
      <c r="E3" s="6" t="n"/>
    </row>
    <row r="4">
      <c r="B4" s="29" t="inlineStr">
        <is>
          <t>PFIC Name</t>
        </is>
      </c>
      <c r="C4" s="29" t="inlineStr">
        <is>
          <t>Country</t>
        </is>
      </c>
      <c r="D4" s="29" t="inlineStr">
        <is>
          <t>EIN/Ref ID</t>
        </is>
      </c>
      <c r="E4" s="29" t="inlineStr">
        <is>
          <t>FMV (Year-End)</t>
        </is>
      </c>
    </row>
    <row r="5">
      <c r="B5" s="20">
        <f>Intake!B274</f>
        <v/>
      </c>
      <c r="C5" s="20">
        <f>Intake!C274</f>
        <v/>
      </c>
      <c r="D5" s="20">
        <f>Intake!D274</f>
        <v/>
      </c>
      <c r="E5" s="21">
        <f>Intake!G274</f>
        <v/>
      </c>
    </row>
    <row r="6">
      <c r="B6" s="20">
        <f>Intake!B275</f>
        <v/>
      </c>
      <c r="C6" s="20">
        <f>Intake!C275</f>
        <v/>
      </c>
      <c r="D6" s="20">
        <f>Intake!D275</f>
        <v/>
      </c>
      <c r="E6" s="21">
        <f>Intake!G275</f>
        <v/>
      </c>
    </row>
    <row r="7">
      <c r="B7" s="20">
        <f>Intake!B276</f>
        <v/>
      </c>
      <c r="C7" s="20">
        <f>Intake!C276</f>
        <v/>
      </c>
      <c r="D7" s="20">
        <f>Intake!D276</f>
        <v/>
      </c>
      <c r="E7" s="21">
        <f>Intake!G276</f>
        <v/>
      </c>
    </row>
    <row r="8">
      <c r="B8" s="20">
        <f>Intake!B277</f>
        <v/>
      </c>
      <c r="C8" s="20">
        <f>Intake!C277</f>
        <v/>
      </c>
      <c r="D8" s="20">
        <f>Intake!D277</f>
        <v/>
      </c>
      <c r="E8" s="21">
        <f>Intake!G277</f>
        <v/>
      </c>
    </row>
    <row r="9">
      <c r="B9" s="20">
        <f>Intake!B278</f>
        <v/>
      </c>
      <c r="C9" s="20">
        <f>Intake!C278</f>
        <v/>
      </c>
      <c r="D9" s="20">
        <f>Intake!D278</f>
        <v/>
      </c>
      <c r="E9" s="21">
        <f>Intake!G278</f>
        <v/>
      </c>
    </row>
    <row r="11">
      <c r="B11" s="4" t="inlineStr">
        <is>
          <t>ELECTION AND INCOME DETAILS</t>
        </is>
      </c>
      <c r="C11" s="5" t="n"/>
      <c r="D11" s="5" t="n"/>
      <c r="E11" s="6" t="n"/>
    </row>
    <row r="12">
      <c r="C12" s="3" t="inlineStr">
        <is>
          <t>Note: Complete one Form 8621 per PFIC. This is a summary worksheet.</t>
        </is>
      </c>
    </row>
    <row r="13">
      <c r="B13" s="29" t="inlineStr">
        <is>
          <t>PFIC Name</t>
        </is>
      </c>
      <c r="C13" s="29" t="inlineStr">
        <is>
          <t>Election Type</t>
        </is>
      </c>
      <c r="D13" s="29" t="inlineStr">
        <is>
          <t>Ordinary Income</t>
        </is>
      </c>
      <c r="E13" s="29" t="inlineStr">
        <is>
          <t>Net Capital Gain</t>
        </is>
      </c>
    </row>
    <row r="14">
      <c r="B14" s="20">
        <f>Intake!B274</f>
        <v/>
      </c>
      <c r="C14" s="20">
        <f>Intake!H274</f>
        <v/>
      </c>
      <c r="D14" s="14" t="n"/>
      <c r="E14" s="14" t="n"/>
    </row>
    <row r="15">
      <c r="B15" s="20">
        <f>Intake!B275</f>
        <v/>
      </c>
      <c r="C15" s="20">
        <f>Intake!H275</f>
        <v/>
      </c>
      <c r="D15" s="14" t="n"/>
      <c r="E15" s="14" t="n"/>
    </row>
    <row r="16">
      <c r="B16" s="20">
        <f>Intake!B276</f>
        <v/>
      </c>
      <c r="C16" s="20">
        <f>Intake!H276</f>
        <v/>
      </c>
      <c r="D16" s="14" t="n"/>
      <c r="E16" s="14" t="n"/>
    </row>
    <row r="17">
      <c r="B17" s="20">
        <f>Intake!B277</f>
        <v/>
      </c>
      <c r="C17" s="20">
        <f>Intake!H277</f>
        <v/>
      </c>
      <c r="D17" s="14" t="n"/>
      <c r="E17" s="14" t="n"/>
    </row>
    <row r="18">
      <c r="B18" s="20">
        <f>Intake!B278</f>
        <v/>
      </c>
      <c r="C18" s="20">
        <f>Intake!H278</f>
        <v/>
      </c>
      <c r="D18" s="14" t="n"/>
      <c r="E18" s="14" t="n"/>
    </row>
  </sheetData>
  <mergeCells count="2">
    <mergeCell ref="B11:E11"/>
    <mergeCell ref="B3:E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0066"/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50" customWidth="1" min="3" max="3"/>
    <col width="20" customWidth="1" min="4" max="4"/>
  </cols>
  <sheetData>
    <row r="1">
      <c r="B1" s="19" t="inlineStr">
        <is>
          <t>Form 3520 — Annual Return to Report Transactions with Foreign Trusts</t>
        </is>
      </c>
    </row>
    <row r="2">
      <c r="B2" s="44" t="inlineStr">
        <is>
          <t>and Receipt of Certain Foreign Gifts</t>
        </is>
      </c>
    </row>
    <row r="4">
      <c r="B4" s="4" t="inlineStr">
        <is>
          <t>PART IV — US PERSONS RECEIVING FOREIGN GIFTS</t>
        </is>
      </c>
      <c r="C4" s="5" t="n"/>
      <c r="D4" s="6" t="n"/>
    </row>
    <row r="5">
      <c r="C5" s="7" t="inlineStr">
        <is>
          <t>Total gifts from foreign individuals</t>
        </is>
      </c>
      <c r="D5" s="21">
        <f>Intake!C263</f>
        <v/>
      </c>
    </row>
    <row r="6">
      <c r="C6" s="7" t="inlineStr">
        <is>
          <t>Total gifts from foreign corporations</t>
        </is>
      </c>
      <c r="D6" s="21">
        <f>Intake!C264</f>
        <v/>
      </c>
    </row>
    <row r="7">
      <c r="C7" s="22" t="inlineStr">
        <is>
          <t>FORM 3520 REQUIRED FOR GIFTS?</t>
        </is>
      </c>
      <c r="D7" s="43">
        <f>IF(OR(D5&gt;100000,D6&gt;19570),"YES - FILING REQUIRED","NO")</f>
        <v/>
      </c>
    </row>
    <row r="9">
      <c r="B9" s="4" t="inlineStr">
        <is>
          <t>PART III — US PERSONS WITH FOREIGN TRUSTS</t>
        </is>
      </c>
      <c r="C9" s="5" t="n"/>
      <c r="D9" s="6" t="n"/>
    </row>
    <row r="10">
      <c r="C10" s="7" t="inlineStr">
        <is>
          <t>Name of foreign trust</t>
        </is>
      </c>
      <c r="D10" s="20">
        <f>Intake!C265</f>
        <v/>
      </c>
    </row>
    <row r="11">
      <c r="C11" s="7" t="inlineStr">
        <is>
          <t>Country of trust</t>
        </is>
      </c>
      <c r="D11" s="20">
        <f>Intake!C266</f>
        <v/>
      </c>
    </row>
    <row r="12">
      <c r="C12" s="7" t="inlineStr">
        <is>
          <t>EIN or Reference ID</t>
        </is>
      </c>
      <c r="D12" s="20">
        <f>Intake!C267</f>
        <v/>
      </c>
    </row>
    <row r="13">
      <c r="C13" s="7" t="inlineStr">
        <is>
          <t>Distributions received from trust</t>
        </is>
      </c>
      <c r="D13" s="21">
        <f>Intake!C268</f>
        <v/>
      </c>
    </row>
    <row r="14">
      <c r="C14" s="7" t="inlineStr">
        <is>
          <t>Transfers to trust during year</t>
        </is>
      </c>
      <c r="D14" s="21">
        <f>Intake!C269</f>
        <v/>
      </c>
    </row>
    <row r="16">
      <c r="C16" s="22" t="inlineStr">
        <is>
          <t>FORM 3520 REQUIRED FOR TRUST?</t>
        </is>
      </c>
      <c r="D16" s="43">
        <f>IF(OR(D14&lt;&gt;0,D15&lt;&gt;0),"YES - FILING REQUIRED","NO")</f>
        <v/>
      </c>
    </row>
  </sheetData>
  <mergeCells count="2">
    <mergeCell ref="B9:D9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2026-04-05T05:17:43Z</dcterms:created>
  <dcterms:modified xmlns:dcterms="http://purl.org/dc/terms/" xmlns:xsi="http://www.w3.org/2001/XMLSchema-instance" xsi:type="dcterms:W3CDTF">2026-04-05T05:17:43Z</dcterms:modified>
</cp:coreProperties>
</file>